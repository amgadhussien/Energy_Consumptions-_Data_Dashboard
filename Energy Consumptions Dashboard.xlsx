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slicers/slicer4.xml" ContentType="application/vnd.ms-excel.slicer+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e26aae1069a1acf/Desktop/Energy Consumptions DashBoard/"/>
    </mc:Choice>
  </mc:AlternateContent>
  <xr:revisionPtr revIDLastSave="3488" documentId="8_{41F2AEAF-47A1-48DC-A1DB-31BCD32E138C}" xr6:coauthVersionLast="47" xr6:coauthVersionMax="47" xr10:uidLastSave="{DB8CDE2B-5077-4E0F-A2E1-5528D626F41B}"/>
  <bookViews>
    <workbookView xWindow="-120" yWindow="-120" windowWidth="29040" windowHeight="16440" tabRatio="845" firstSheet="4" activeTab="4" xr2:uid="{E806D24B-0CBE-45C4-99FF-DF35CA7E8202}"/>
  </bookViews>
  <sheets>
    <sheet name="overall_analysis" sheetId="6" state="hidden" r:id="rId1"/>
    <sheet name="water_analysis" sheetId="12" state="hidden" r:id="rId2"/>
    <sheet name="gas_analysis" sheetId="10" state="hidden" r:id="rId3"/>
    <sheet name="electricity_analysis" sheetId="13" state="hidden" r:id="rId4"/>
    <sheet name="DashBoard OverAll" sheetId="14" r:id="rId5"/>
    <sheet name="DashBoard Electricity" sheetId="20" r:id="rId6"/>
    <sheet name="DashBoard Water" sheetId="18" r:id="rId7"/>
    <sheet name="DashBoard Gas" sheetId="19" r:id="rId8"/>
  </sheets>
  <definedNames>
    <definedName name="Slicer_Date__Month">#N/A</definedName>
    <definedName name="Slicer_Date__Month1">#N/A</definedName>
    <definedName name="Slicer_Date__Month2">#N/A</definedName>
    <definedName name="Slicer_Date__Month3">#N/A</definedName>
    <definedName name="Slicer_Date__Year">#N/A</definedName>
    <definedName name="Slicer_Date__Year1">#N/A</definedName>
    <definedName name="Slicer_Date__Year2">#N/A</definedName>
    <definedName name="Slicer_Date__Year3">#N/A</definedName>
  </definedNames>
  <calcPr calcId="191029"/>
  <pivotCaches>
    <pivotCache cacheId="5511" r:id="rId9"/>
    <pivotCache cacheId="5514" r:id="rId10"/>
    <pivotCache cacheId="5532" r:id="rId11"/>
    <pivotCache cacheId="5535" r:id="rId12"/>
    <pivotCache cacheId="5538" r:id="rId13"/>
    <pivotCache cacheId="5541" r:id="rId14"/>
    <pivotCache cacheId="5544" r:id="rId15"/>
    <pivotCache cacheId="5547" r:id="rId16"/>
    <pivotCache cacheId="5550" r:id="rId17"/>
    <pivotCache cacheId="5553" r:id="rId18"/>
    <pivotCache cacheId="5556" r:id="rId19"/>
    <pivotCache cacheId="5559" r:id="rId20"/>
    <pivotCache cacheId="5562" r:id="rId21"/>
    <pivotCache cacheId="5898" r:id="rId22"/>
    <pivotCache cacheId="5901" r:id="rId23"/>
    <pivotCache cacheId="6045" r:id="rId24"/>
    <pivotCache cacheId="6048" r:id="rId25"/>
    <pivotCache cacheId="6075" r:id="rId26"/>
    <pivotCache cacheId="6078" r:id="rId27"/>
    <pivotCache cacheId="6081" r:id="rId28"/>
    <pivotCache cacheId="6084" r:id="rId29"/>
    <pivotCache cacheId="6087" r:id="rId30"/>
    <pivotCache cacheId="6090" r:id="rId31"/>
    <pivotCache cacheId="6093" r:id="rId32"/>
    <pivotCache cacheId="6096" r:id="rId33"/>
    <pivotCache cacheId="6099" r:id="rId34"/>
    <pivotCache cacheId="6102" r:id="rId35"/>
    <pivotCache cacheId="6105" r:id="rId36"/>
    <pivotCache cacheId="6207" r:id="rId37"/>
    <pivotCache cacheId="6237" r:id="rId38"/>
    <pivotCache cacheId="6240" r:id="rId39"/>
    <pivotCache cacheId="6243" r:id="rId40"/>
    <pivotCache cacheId="6246" r:id="rId41"/>
    <pivotCache cacheId="6249" r:id="rId42"/>
    <pivotCache cacheId="6252" r:id="rId43"/>
    <pivotCache cacheId="6255" r:id="rId44"/>
    <pivotCache cacheId="6258" r:id="rId45"/>
    <pivotCache cacheId="6261" r:id="rId46"/>
    <pivotCache cacheId="6264" r:id="rId47"/>
    <pivotCache cacheId="6267" r:id="rId48"/>
    <pivotCache cacheId="6270" r:id="rId49"/>
    <pivotCache cacheId="6372" r:id="rId50"/>
    <pivotCache cacheId="6375" r:id="rId51"/>
    <pivotCache cacheId="6378" r:id="rId52"/>
    <pivotCache cacheId="6381" r:id="rId53"/>
    <pivotCache cacheId="6384" r:id="rId54"/>
    <pivotCache cacheId="6387" r:id="rId55"/>
    <pivotCache cacheId="6390" r:id="rId56"/>
    <pivotCache cacheId="6393" r:id="rId57"/>
    <pivotCache cacheId="6396" r:id="rId58"/>
    <pivotCache cacheId="6399" r:id="rId59"/>
    <pivotCache cacheId="6402" r:id="rId60"/>
  </pivotCaches>
  <extLst>
    <ext xmlns:x14="http://schemas.microsoft.com/office/spreadsheetml/2009/9/main" uri="{876F7934-8845-4945-9796-88D515C7AA90}">
      <x14:pivotCaches>
        <pivotCache cacheId="52" r:id="rId61"/>
        <pivotCache cacheId="54" r:id="rId62"/>
      </x14:pivotCaches>
    </ext>
    <ext xmlns:x14="http://schemas.microsoft.com/office/spreadsheetml/2009/9/main" uri="{BBE1A952-AA13-448e-AADC-164F8A28A991}">
      <x14:slicerCaches>
        <x14:slicerCache r:id="rId63"/>
        <x14:slicerCache r:id="rId64"/>
        <x14:slicerCache r:id="rId65"/>
        <x14:slicerCache r:id="rId66"/>
        <x14:slicerCache r:id="rId67"/>
        <x14:slicerCache r:id="rId68"/>
        <x14:slicerCache r:id="rId69"/>
        <x14:slicerCache r:id="rId7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ilding Master_7c4ed771-e0cd-4163-b2fd-9c444b5e955d" name="Building Master" connection="Query - Building Master"/>
          <x15:modelTable id="Energy Consumptions_6a250429-b943-480b-b06b-7de17bc0cf0d" name="Energy Consumptions" connection="Query - Energy Consumptions"/>
          <x15:modelTable id="Rates_66f754c8-3d9c-43f8-aa2d-7706b4bae254" name="Rates" connection="Query - Rates"/>
        </x15:modelTables>
        <x15:modelRelationships>
          <x15:modelRelationship fromTable="Energy Consumptions" fromColumn="Building" toTable="Building Master" toColumn="Building"/>
          <x15:modelRelationship fromTable="Energy Consumptions" fromColumn="Merged" toTable="Rates" toColumn="Key"/>
        </x15:modelRelationships>
        <x15:extLst>
          <ext xmlns:x16="http://schemas.microsoft.com/office/spreadsheetml/2014/11/main" uri="{9835A34E-60A6-4A7C-AAB8-D5F71C897F49}">
            <x16:modelTimeGroupings>
              <x16:modelTimeGrouping tableName="Energy Consump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6" l="1"/>
  <c r="G4" i="6"/>
  <c r="E4" i="6"/>
  <c r="C4" i="6"/>
  <c r="C12" i="10"/>
  <c r="C11" i="10"/>
  <c r="C10" i="10"/>
  <c r="C9" i="10"/>
  <c r="C12" i="13"/>
  <c r="C11" i="13"/>
  <c r="C10" i="13"/>
  <c r="C9" i="13"/>
  <c r="L5" i="13"/>
  <c r="F5" i="13"/>
  <c r="L5" i="10"/>
  <c r="I5" i="10"/>
  <c r="F5" i="10"/>
  <c r="C5" i="10"/>
  <c r="L5" i="12"/>
  <c r="I5" i="12"/>
  <c r="F5" i="12"/>
  <c r="C5" i="12"/>
  <c r="C12" i="12"/>
  <c r="C11" i="12"/>
  <c r="C10" i="12"/>
  <c r="C9" i="12"/>
  <c r="I5" i="13"/>
  <c r="C5" i="13"/>
  <c r="A5" i="13"/>
  <c r="A5" i="10"/>
  <c r="A5" i="12"/>
  <c r="F12" i="13"/>
  <c r="F11" i="13"/>
  <c r="F10" i="13"/>
  <c r="F9" i="13"/>
  <c r="F9" i="10"/>
  <c r="F12" i="10"/>
  <c r="F11" i="10"/>
  <c r="F10" i="10"/>
  <c r="F12" i="12"/>
  <c r="F11" i="12"/>
  <c r="F10" i="12"/>
  <c r="F9" i="12"/>
  <c r="A4" i="6"/>
  <c r="F25" i="6"/>
  <c r="F24" i="6"/>
  <c r="F23" i="6"/>
  <c r="C25" i="6"/>
  <c r="C24" i="6"/>
  <c r="C2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CB7428-E99E-46EB-8DB5-AA960C6F8D88}" name="Query - Building Master" description="Connection to the 'Building Master' query in the workbook." type="100" refreshedVersion="8" minRefreshableVersion="5">
    <extLst>
      <ext xmlns:x15="http://schemas.microsoft.com/office/spreadsheetml/2010/11/main" uri="{DE250136-89BD-433C-8126-D09CA5730AF9}">
        <x15:connection id="6703a963-6d9e-44c5-a8fd-e47caa52addb"/>
      </ext>
    </extLst>
  </connection>
  <connection id="2" xr16:uid="{957F471A-B866-4D0F-A99C-AEB5B4BF7249}" name="Query - Energy Consumptions" description="Connection to the 'Energy Consumptions' query in the workbook." type="100" refreshedVersion="8" minRefreshableVersion="5">
    <extLst>
      <ext xmlns:x15="http://schemas.microsoft.com/office/spreadsheetml/2010/11/main" uri="{DE250136-89BD-433C-8126-D09CA5730AF9}">
        <x15:connection id="e3dc2f4b-fc7a-41ab-90f2-de70081e4a44"/>
      </ext>
    </extLst>
  </connection>
  <connection id="3" xr16:uid="{78CFA0B8-AE92-48E7-BC30-FE5F2DCADCD2}" name="Query - Rates" description="Connection to the 'Rates' query in the workbook." type="100" refreshedVersion="8" minRefreshableVersion="5">
    <extLst>
      <ext xmlns:x15="http://schemas.microsoft.com/office/spreadsheetml/2010/11/main" uri="{DE250136-89BD-433C-8126-D09CA5730AF9}">
        <x15:connection id="085e2093-0fe9-4b68-bc9c-add302a1fd2b"/>
      </ext>
    </extLst>
  </connection>
  <connection id="4" xr16:uid="{1BA375CD-02A0-4124-BBFB-AF4F8E4A25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Rates].[Energy Type].&amp;[Gas]}"/>
    <s v="{[Rates].[Energy Type].&amp;[Water]}"/>
    <s v="{[Rates].[Energy Type].&amp;[Electricity]}"/>
    <s v="{[Energy Consumptions].[Attribute].&amp;[Water]}"/>
    <s v="{[Energy Consumptions].[Attribute].&amp;[Gas]}"/>
    <s v="{[Energy Consumptions].[Attribute].&amp;[Electricity]}"/>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<sst xmlns="http://schemas.openxmlformats.org/spreadsheetml/2006/main" count="365" uniqueCount="46">
  <si>
    <t>Sum of Price</t>
  </si>
  <si>
    <t>TOTAL PRICE</t>
  </si>
  <si>
    <t>Sum of Consumption</t>
  </si>
  <si>
    <t>TOTAL CONS</t>
  </si>
  <si>
    <t>Row Labels</t>
  </si>
  <si>
    <t>Electricity</t>
  </si>
  <si>
    <t>Gas</t>
  </si>
  <si>
    <t>Water</t>
  </si>
  <si>
    <t>Average of Price</t>
  </si>
  <si>
    <t>Average of Consumption</t>
  </si>
  <si>
    <t>B1000</t>
  </si>
  <si>
    <t>B1001</t>
  </si>
  <si>
    <t>B1002</t>
  </si>
  <si>
    <t>B1003</t>
  </si>
  <si>
    <t>B1004</t>
  </si>
  <si>
    <t>B1006</t>
  </si>
  <si>
    <t>B1008</t>
  </si>
  <si>
    <t>B1010</t>
  </si>
  <si>
    <t>2016</t>
  </si>
  <si>
    <t>Jan</t>
  </si>
  <si>
    <t>Feb</t>
  </si>
  <si>
    <t>Mar</t>
  </si>
  <si>
    <t>Apr</t>
  </si>
  <si>
    <t>May</t>
  </si>
  <si>
    <t>Jun</t>
  </si>
  <si>
    <t>Jul</t>
  </si>
  <si>
    <t>Aug</t>
  </si>
  <si>
    <t>Sep</t>
  </si>
  <si>
    <t>Oct</t>
  </si>
  <si>
    <t>Nov</t>
  </si>
  <si>
    <t>Dec</t>
  </si>
  <si>
    <t>2017</t>
  </si>
  <si>
    <t>2018</t>
  </si>
  <si>
    <t>2019</t>
  </si>
  <si>
    <t xml:space="preserve"> </t>
  </si>
  <si>
    <t>Chicago</t>
  </si>
  <si>
    <t>Houston</t>
  </si>
  <si>
    <t>Los Angeles</t>
  </si>
  <si>
    <t>New York</t>
  </si>
  <si>
    <t>Phoenix</t>
  </si>
  <si>
    <t>Energy Type</t>
  </si>
  <si>
    <t>B1005</t>
  </si>
  <si>
    <t>B1007</t>
  </si>
  <si>
    <t>B1009</t>
  </si>
  <si>
    <t>Attribute</t>
  </si>
  <si>
    <t>Distinct Count of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</si>
</sst>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0;\(\$#,##0.00\);\$#,##0.00"/>
    <numFmt numFmtId="165" formatCode="_(* #,##0_);_(* \(#,##0\);_(* &quot;-&quot;??_);_(@_)"/>
  </numFmts>
  <fonts count="2" x14ac:knownFonts="1">
    <font>
      <sz val="11"/>
      <color theme="1"/>
      <name val="Aptos Narrow"/>
      <family val="2"/>
      <scheme val="minor"/>
    </font>
    <font>
      <sz val="11"/>
      <color theme="1"/>
      <name val="Candara"/>
      <family val="2"/>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0" xfId="0" applyAlignment="1">
      <alignment wrapText="1"/>
    </xf>
    <xf numFmtId="0" fontId="1" fillId="0" borderId="0" xfId="0" applyFont="1"/>
    <xf numFmtId="0" fontId="0" fillId="0" borderId="0" xfId="0" applyNumberFormat="1"/>
  </cellXfs>
  <cellStyles count="1">
    <cellStyle name="Normal" xfId="0" builtinId="0"/>
  </cellStyles>
  <dxfs count="8">
    <dxf>
      <font>
        <b/>
        <i val="0"/>
        <sz val="10"/>
      </font>
      <fill>
        <patternFill>
          <bgColor rgb="FFFFFF00"/>
        </patternFill>
      </fill>
      <border diagonalUp="0" diagonalDown="0">
        <left/>
        <right/>
        <top/>
        <bottom/>
        <vertical/>
        <horizontal/>
      </border>
    </dxf>
    <dxf>
      <font>
        <b/>
        <i val="0"/>
        <sz val="10"/>
      </font>
      <fill>
        <patternFill>
          <bgColor rgb="FF00B050"/>
        </patternFill>
      </fill>
      <border diagonalUp="0" diagonalDown="0">
        <left/>
        <right/>
        <top/>
        <bottom/>
        <vertical/>
        <horizontal/>
      </border>
    </dxf>
    <dxf>
      <font>
        <b/>
        <i val="0"/>
        <sz val="10"/>
      </font>
      <fill>
        <patternFill>
          <bgColor rgb="FF002060"/>
        </patternFill>
      </fill>
      <border diagonalUp="0" diagonalDown="0">
        <left/>
        <right/>
        <top/>
        <bottom/>
        <vertical/>
        <horizontal/>
      </border>
    </dxf>
    <dxf>
      <fill>
        <patternFill patternType="solid">
          <bgColor theme="1" tint="0.34998626667073579"/>
        </patternFill>
      </fill>
    </dxf>
    <dxf>
      <numFmt numFmtId="165" formatCode="_(* #,##0_);_(* \(#,##0\);_(* &quot;-&quot;??_);_(@_)"/>
    </dxf>
    <dxf>
      <numFmt numFmtId="165" formatCode="_(* #,##0_);_(* \(#,##0\);_(* &quot;-&quot;??_);_(@_)"/>
    </dxf>
    <dxf>
      <numFmt numFmtId="35" formatCode="_(* #,##0.00_);_(* \(#,##0.00\);_(* &quot;-&quot;??_);_(@_)"/>
    </dxf>
    <dxf>
      <numFmt numFmtId="165" formatCode="_(* #,##0_);_(* \(#,##0\);_(* &quot;-&quot;??_);_(@_)"/>
    </dxf>
  </dxfs>
  <tableStyles count="4" defaultTableStyle="TableStyleMedium2" defaultPivotStyle="PivotStyleLight16">
    <tableStyle name="Slicer Style 1" pivot="0" table="0" count="5" xr9:uid="{D89204BC-23B0-450C-BF1A-2F968A0A1FCE}">
      <tableStyleElement type="wholeTable" dxfId="3"/>
    </tableStyle>
    <tableStyle name="Slicer Style 2" pivot="0" table="0" count="5" xr9:uid="{8039AD34-816F-44C5-856A-90177317D868}">
      <tableStyleElement type="wholeTable" dxfId="2"/>
    </tableStyle>
    <tableStyle name="Slicer Style 3" pivot="0" table="0" count="5" xr9:uid="{584CCA71-D434-48C8-907A-912766A9D518}">
      <tableStyleElement type="wholeTable" dxfId="0"/>
    </tableStyle>
    <tableStyle name="Slicer Style 4" pivot="0" table="0" count="5" xr9:uid="{FD927517-7BFA-485D-B960-7FE3620A73A9}">
      <tableStyleElement type="wholeTable" dxfId="1"/>
    </tableStyle>
  </tableStyles>
  <colors>
    <mruColors>
      <color rgb="FFEC8552"/>
      <color rgb="FFDA6300"/>
      <color rgb="FFE97237"/>
      <color rgb="FFFBBD21"/>
      <color rgb="FFFDFD67"/>
      <color rgb="FFCAC002"/>
      <color rgb="FFDBD600"/>
      <color rgb="FFD9DE00"/>
      <color rgb="FFF2FFA7"/>
      <color rgb="FFF9FFD3"/>
    </mruColors>
  </colors>
  <extLst>
    <ext xmlns:x14="http://schemas.microsoft.com/office/spreadsheetml/2009/9/main" uri="{46F421CA-312F-682f-3DD2-61675219B42D}">
      <x14:dxfs count="16">
        <dxf>
          <font>
            <b/>
            <i val="0"/>
            <sz val="14"/>
          </font>
          <fill>
            <patternFill>
              <bgColor rgb="FFFFC585"/>
            </patternFill>
          </fill>
          <border diagonalUp="0" diagonalDown="0">
            <left/>
            <right/>
            <top/>
            <bottom/>
            <vertical/>
            <horizontal/>
          </border>
        </dxf>
        <dxf>
          <font>
            <b/>
            <i val="0"/>
            <sz val="14"/>
            <color theme="0"/>
          </font>
          <fill>
            <patternFill>
              <bgColor rgb="FF996600"/>
            </patternFill>
          </fill>
          <border diagonalUp="0" diagonalDown="0">
            <left/>
            <right/>
            <top/>
            <bottom/>
            <vertical/>
            <horizontal/>
          </border>
        </dxf>
        <dxf>
          <font>
            <b/>
            <i val="0"/>
            <sz val="12"/>
          </font>
          <fill>
            <patternFill>
              <bgColor rgb="FFC86900"/>
            </patternFill>
          </fill>
          <border diagonalUp="0" diagonalDown="0">
            <left/>
            <right/>
            <top/>
            <bottom/>
            <vertical/>
            <horizontal/>
          </border>
        </dxf>
        <dxf>
          <font>
            <b/>
            <i val="0"/>
            <sz val="12"/>
          </font>
          <fill>
            <patternFill>
              <bgColor rgb="FFFFCC00"/>
            </patternFill>
          </fill>
          <border diagonalUp="0" diagonalDown="0">
            <left/>
            <right/>
            <top/>
            <bottom/>
            <vertical/>
            <horizontal/>
          </border>
        </dxf>
        <dxf>
          <font>
            <b/>
            <i val="0"/>
            <sz val="14"/>
          </font>
          <fill>
            <patternFill>
              <bgColor rgb="FF63C18E"/>
            </patternFill>
          </fill>
          <border diagonalUp="0" diagonalDown="0">
            <left/>
            <right/>
            <top/>
            <bottom/>
            <vertical/>
            <horizontal/>
          </border>
        </dxf>
        <dxf>
          <font>
            <b/>
            <i val="0"/>
            <sz val="14"/>
          </font>
          <fill>
            <patternFill>
              <bgColor rgb="FFC6E8D5"/>
            </patternFill>
          </fill>
          <border diagonalUp="0" diagonalDown="0">
            <left/>
            <right/>
            <top/>
            <bottom/>
            <vertical/>
            <horizontal/>
          </border>
        </dxf>
        <dxf>
          <font>
            <b/>
            <i val="0"/>
            <sz val="12"/>
            <color theme="0"/>
          </font>
          <fill>
            <patternFill>
              <bgColor rgb="FF1E4634"/>
            </patternFill>
          </fill>
          <border diagonalUp="0" diagonalDown="0">
            <left/>
            <right/>
            <top/>
            <bottom/>
            <vertical/>
            <horizontal/>
          </border>
        </dxf>
        <dxf>
          <font>
            <b/>
            <i val="0"/>
            <sz val="12"/>
          </font>
          <fill>
            <patternFill>
              <bgColor rgb="FF95D5B2"/>
            </patternFill>
          </fill>
          <border diagonalUp="0" diagonalDown="0">
            <left/>
            <right/>
            <top/>
            <bottom/>
            <vertical/>
            <horizontal/>
          </border>
        </dxf>
        <dxf>
          <font>
            <b/>
            <i val="0"/>
            <sz val="14"/>
          </font>
          <fill>
            <patternFill>
              <bgColor rgb="FF3BBDF1"/>
            </patternFill>
          </fill>
          <border diagonalUp="0" diagonalDown="0">
            <left/>
            <right/>
            <top/>
            <bottom/>
            <vertical/>
            <horizontal/>
          </border>
        </dxf>
        <dxf>
          <font>
            <b/>
            <i val="0"/>
            <sz val="14"/>
          </font>
          <fill>
            <patternFill>
              <bgColor rgb="FFA1DFED"/>
            </patternFill>
          </fill>
          <border diagonalUp="0" diagonalDown="0">
            <left/>
            <right/>
            <top/>
            <bottom/>
            <vertical/>
            <horizontal/>
          </border>
        </dxf>
        <dxf>
          <font>
            <b/>
            <i val="0"/>
            <sz val="12"/>
            <color theme="0"/>
          </font>
          <fill>
            <patternFill>
              <bgColor rgb="FF004B74"/>
            </patternFill>
          </fill>
          <border diagonalUp="0" diagonalDown="0">
            <left/>
            <right/>
            <top/>
            <bottom/>
            <vertical/>
            <horizontal/>
          </border>
        </dxf>
        <dxf>
          <font>
            <b/>
            <i val="0"/>
            <sz val="12"/>
          </font>
          <fill>
            <patternFill>
              <bgColor rgb="FFB2E9F4"/>
            </patternFill>
          </fill>
          <border diagonalUp="0" diagonalDown="0">
            <left/>
            <right/>
            <top/>
            <bottom/>
            <vertical/>
            <horizontal/>
          </border>
        </dxf>
        <dxf>
          <font>
            <sz val="14"/>
            <color theme="0"/>
          </font>
          <fill>
            <patternFill>
              <bgColor rgb="FF4D4D4D"/>
            </patternFill>
          </fill>
          <border diagonalUp="0" diagonalDown="0">
            <left/>
            <right/>
            <top/>
            <bottom/>
            <vertical/>
            <horizontal/>
          </border>
        </dxf>
        <dxf>
          <font>
            <sz val="14"/>
            <color theme="0"/>
          </font>
          <fill>
            <patternFill>
              <bgColor rgb="FF5F5F5F"/>
            </patternFill>
          </fill>
        </dxf>
        <dxf>
          <font>
            <b/>
            <i val="0"/>
            <sz val="12"/>
            <color theme="0"/>
          </font>
          <fill>
            <patternFill>
              <bgColor rgb="FF000000"/>
            </patternFill>
          </fill>
          <border diagonalUp="0" diagonalDown="0">
            <left/>
            <right/>
            <top/>
            <bottom/>
            <vertical/>
            <horizontal/>
          </border>
        </dxf>
        <dxf>
          <font>
            <sz val="12"/>
            <color theme="0"/>
          </font>
          <fill>
            <patternFill>
              <bgColor theme="0"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selectedItemWithData" dxfId="14"/>
            <x14:slicerStyleElement type="hoveredUnselectedItemWithData" dxfId="13"/>
            <x14:slicerStyleElement type="hoveredSelectedItemWithData" dxfId="12"/>
          </x14:slicerStyleElements>
        </x14:slicerStyle>
        <x14:slicerStyle name="Slicer Style 2">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4">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47" Type="http://schemas.openxmlformats.org/officeDocument/2006/relationships/pivotCacheDefinition" Target="pivotCache/pivotCacheDefinition39.xml"/><Relationship Id="rId63" Type="http://schemas.microsoft.com/office/2007/relationships/slicerCache" Target="slicerCaches/slicerCache1.xml"/><Relationship Id="rId68" Type="http://schemas.microsoft.com/office/2007/relationships/slicerCache" Target="slicerCaches/slicerCache6.xml"/><Relationship Id="rId84" Type="http://schemas.openxmlformats.org/officeDocument/2006/relationships/customXml" Target="../customXml/item7.xml"/><Relationship Id="rId89" Type="http://schemas.openxmlformats.org/officeDocument/2006/relationships/customXml" Target="../customXml/item12.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pivotCacheDefinition" Target="pivotCache/pivotCacheDefinition45.xml"/><Relationship Id="rId58" Type="http://schemas.openxmlformats.org/officeDocument/2006/relationships/pivotCacheDefinition" Target="pivotCache/pivotCacheDefinition50.xml"/><Relationship Id="rId74" Type="http://schemas.openxmlformats.org/officeDocument/2006/relationships/sharedStrings" Target="sharedStrings.xml"/><Relationship Id="rId79" Type="http://schemas.openxmlformats.org/officeDocument/2006/relationships/customXml" Target="../customXml/item2.xml"/><Relationship Id="rId5" Type="http://schemas.openxmlformats.org/officeDocument/2006/relationships/worksheet" Target="worksheets/sheet5.xml"/><Relationship Id="rId90" Type="http://schemas.openxmlformats.org/officeDocument/2006/relationships/customXml" Target="../customXml/item13.xml"/><Relationship Id="rId95" Type="http://schemas.openxmlformats.org/officeDocument/2006/relationships/customXml" Target="../customXml/item18.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pivotCacheDefinition" Target="pivotCache/pivotCacheDefinition35.xml"/><Relationship Id="rId48" Type="http://schemas.openxmlformats.org/officeDocument/2006/relationships/pivotCacheDefinition" Target="pivotCache/pivotCacheDefinition40.xml"/><Relationship Id="rId64" Type="http://schemas.microsoft.com/office/2007/relationships/slicerCache" Target="slicerCaches/slicerCache2.xml"/><Relationship Id="rId69" Type="http://schemas.microsoft.com/office/2007/relationships/slicerCache" Target="slicerCaches/slicerCache7.xml"/><Relationship Id="rId8" Type="http://schemas.openxmlformats.org/officeDocument/2006/relationships/worksheet" Target="worksheets/sheet8.xml"/><Relationship Id="rId51" Type="http://schemas.openxmlformats.org/officeDocument/2006/relationships/pivotCacheDefinition" Target="pivotCache/pivotCacheDefinition43.xml"/><Relationship Id="rId72" Type="http://schemas.openxmlformats.org/officeDocument/2006/relationships/connections" Target="connections.xml"/><Relationship Id="rId80" Type="http://schemas.openxmlformats.org/officeDocument/2006/relationships/customXml" Target="../customXml/item3.xml"/><Relationship Id="rId85" Type="http://schemas.openxmlformats.org/officeDocument/2006/relationships/customXml" Target="../customXml/item8.xml"/><Relationship Id="rId93"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46" Type="http://schemas.openxmlformats.org/officeDocument/2006/relationships/pivotCacheDefinition" Target="pivotCache/pivotCacheDefinition38.xml"/><Relationship Id="rId59" Type="http://schemas.openxmlformats.org/officeDocument/2006/relationships/pivotCacheDefinition" Target="pivotCache/pivotCacheDefinition51.xml"/><Relationship Id="rId67" Type="http://schemas.microsoft.com/office/2007/relationships/slicerCache" Target="slicerCaches/slicerCache5.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54" Type="http://schemas.openxmlformats.org/officeDocument/2006/relationships/pivotCacheDefinition" Target="pivotCache/pivotCacheDefinition46.xml"/><Relationship Id="rId62" Type="http://schemas.openxmlformats.org/officeDocument/2006/relationships/pivotCacheDefinition" Target="pivotCache/pivotCacheDefinition54.xml"/><Relationship Id="rId70" Type="http://schemas.microsoft.com/office/2007/relationships/slicerCache" Target="slicerCaches/slicerCache8.xml"/><Relationship Id="rId75" Type="http://schemas.openxmlformats.org/officeDocument/2006/relationships/sheetMetadata" Target="metadata.xml"/><Relationship Id="rId83" Type="http://schemas.openxmlformats.org/officeDocument/2006/relationships/customXml" Target="../customXml/item6.xml"/><Relationship Id="rId88" Type="http://schemas.openxmlformats.org/officeDocument/2006/relationships/customXml" Target="../customXml/item11.xml"/><Relationship Id="rId91" Type="http://schemas.openxmlformats.org/officeDocument/2006/relationships/customXml" Target="../customXml/item14.xml"/><Relationship Id="rId96"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49" Type="http://schemas.openxmlformats.org/officeDocument/2006/relationships/pivotCacheDefinition" Target="pivotCache/pivotCacheDefinition41.xml"/><Relationship Id="rId57" Type="http://schemas.openxmlformats.org/officeDocument/2006/relationships/pivotCacheDefinition" Target="pivotCache/pivotCacheDefinition49.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pivotCacheDefinition" Target="pivotCache/pivotCacheDefinition36.xml"/><Relationship Id="rId52" Type="http://schemas.openxmlformats.org/officeDocument/2006/relationships/pivotCacheDefinition" Target="pivotCache/pivotCacheDefinition44.xml"/><Relationship Id="rId60" Type="http://schemas.openxmlformats.org/officeDocument/2006/relationships/pivotCacheDefinition" Target="pivotCache/pivotCacheDefinition52.xml"/><Relationship Id="rId65" Type="http://schemas.microsoft.com/office/2007/relationships/slicerCache" Target="slicerCaches/slicerCache3.xml"/><Relationship Id="rId73" Type="http://schemas.openxmlformats.org/officeDocument/2006/relationships/styles" Target="styles.xml"/><Relationship Id="rId78" Type="http://schemas.openxmlformats.org/officeDocument/2006/relationships/customXml" Target="../customXml/item1.xml"/><Relationship Id="rId81" Type="http://schemas.openxmlformats.org/officeDocument/2006/relationships/customXml" Target="../customXml/item4.xml"/><Relationship Id="rId86" Type="http://schemas.openxmlformats.org/officeDocument/2006/relationships/customXml" Target="../customXml/item9.xml"/><Relationship Id="rId9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34" Type="http://schemas.openxmlformats.org/officeDocument/2006/relationships/pivotCacheDefinition" Target="pivotCache/pivotCacheDefinition26.xml"/><Relationship Id="rId50" Type="http://schemas.openxmlformats.org/officeDocument/2006/relationships/pivotCacheDefinition" Target="pivotCache/pivotCacheDefinition42.xml"/><Relationship Id="rId55" Type="http://schemas.openxmlformats.org/officeDocument/2006/relationships/pivotCacheDefinition" Target="pivotCache/pivotCacheDefinition47.xml"/><Relationship Id="rId76" Type="http://schemas.openxmlformats.org/officeDocument/2006/relationships/powerPivotData" Target="model/item.data"/><Relationship Id="rId7" Type="http://schemas.openxmlformats.org/officeDocument/2006/relationships/worksheet" Target="worksheets/sheet7.xml"/><Relationship Id="rId71" Type="http://schemas.openxmlformats.org/officeDocument/2006/relationships/theme" Target="theme/theme1.xml"/><Relationship Id="rId92" Type="http://schemas.openxmlformats.org/officeDocument/2006/relationships/customXml" Target="../customXml/item15.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microsoft.com/office/2007/relationships/slicerCache" Target="slicerCaches/slicerCache4.xml"/><Relationship Id="rId87" Type="http://schemas.openxmlformats.org/officeDocument/2006/relationships/customXml" Target="../customXml/item10.xml"/><Relationship Id="rId61" Type="http://schemas.openxmlformats.org/officeDocument/2006/relationships/pivotCacheDefinition" Target="pivotCache/pivotCacheDefinition53.xml"/><Relationship Id="rId82" Type="http://schemas.openxmlformats.org/officeDocument/2006/relationships/customXml" Target="../customXml/item5.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pivotCacheDefinition" Target="pivotCache/pivotCacheDefinition48.xml"/><Relationship Id="rId77"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Dashboard.xlsx]overall_analysis!attribute price</c:name>
    <c:fmtId val="2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noFill/>
          </a:ln>
          <a:effectLst/>
        </c:spPr>
      </c:pivotFmt>
      <c:pivotFmt>
        <c:idx val="19"/>
        <c:spPr>
          <a:solidFill>
            <a:schemeClr val="accent2"/>
          </a:solidFill>
          <a:ln w="19050">
            <a:noFill/>
          </a:ln>
          <a:effectLst/>
        </c:spPr>
      </c:pivotFmt>
      <c:pivotFmt>
        <c:idx val="20"/>
        <c:spPr>
          <a:solidFill>
            <a:schemeClr val="accent3"/>
          </a:solidFill>
          <a:ln w="19050">
            <a:noFill/>
          </a:ln>
          <a:effectLst/>
        </c:spPr>
      </c:pivotFmt>
      <c:pivotFmt>
        <c:idx val="21"/>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pivotFmt>
      <c:pivotFmt>
        <c:idx val="23"/>
        <c:spPr>
          <a:solidFill>
            <a:schemeClr val="accent2"/>
          </a:solidFill>
          <a:ln w="19050">
            <a:noFill/>
          </a:ln>
          <a:effectLst/>
        </c:spPr>
      </c:pivotFmt>
      <c:pivotFmt>
        <c:idx val="24"/>
        <c:spPr>
          <a:solidFill>
            <a:schemeClr val="accent3"/>
          </a:solidFill>
          <a:ln w="19050">
            <a:noFill/>
          </a:ln>
          <a:effectLst/>
        </c:spPr>
      </c:pivotFmt>
      <c:pivotFmt>
        <c:idx val="2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solidFill>
            <a:schemeClr val="accent3"/>
          </a:solidFill>
          <a:ln w="19050">
            <a:noFill/>
          </a:ln>
          <a:effectLst/>
        </c:spPr>
      </c:pivotFmt>
      <c:pivotFmt>
        <c:idx val="29"/>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noFill/>
          </a:ln>
          <a:effectLst/>
        </c:spPr>
      </c:pivotFmt>
      <c:pivotFmt>
        <c:idx val="35"/>
        <c:spPr>
          <a:solidFill>
            <a:schemeClr val="accent2"/>
          </a:solidFill>
          <a:ln w="19050">
            <a:noFill/>
          </a:ln>
          <a:effectLst/>
        </c:spPr>
      </c:pivotFmt>
      <c:pivotFmt>
        <c:idx val="36"/>
        <c:spPr>
          <a:solidFill>
            <a:schemeClr val="accent3"/>
          </a:solidFill>
          <a:ln w="19050">
            <a:noFill/>
          </a:ln>
          <a:effectLst/>
        </c:spPr>
      </c:pivotFmt>
      <c:pivotFmt>
        <c:idx val="3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chemeClr val="accent3"/>
          </a:solidFill>
          <a:ln w="19050">
            <a:noFill/>
          </a:ln>
          <a:effectLst/>
        </c:spPr>
      </c:pivotFmt>
      <c:pivotFmt>
        <c:idx val="4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5"/>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6"/>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10859870392307157"/>
          <c:y val="0.12456108255929087"/>
          <c:w val="0.68293847118667683"/>
          <c:h val="0.73937290772785125"/>
        </c:manualLayout>
      </c:layout>
      <c:doughnutChart>
        <c:varyColors val="1"/>
        <c:ser>
          <c:idx val="0"/>
          <c:order val="0"/>
          <c:tx>
            <c:strRef>
              <c:f>overall_analysis!$B$22</c:f>
              <c:strCache>
                <c:ptCount val="1"/>
                <c:pt idx="0">
                  <c:v>Total</c:v>
                </c:pt>
              </c:strCache>
            </c:strRef>
          </c:tx>
          <c:spPr>
            <a:ln w="12700">
              <a:solidFill>
                <a:schemeClr val="bg1">
                  <a:lumMod val="85000"/>
                  <a:alpha val="30000"/>
                </a:schemeClr>
              </a:solidFill>
            </a:ln>
          </c:spPr>
          <c:dPt>
            <c:idx val="0"/>
            <c:bubble3D val="0"/>
            <c:spPr>
              <a:solidFill>
                <a:schemeClr val="bg1">
                  <a:lumMod val="85000"/>
                </a:schemeClr>
              </a:solidFill>
              <a:ln w="12700">
                <a:solidFill>
                  <a:schemeClr val="bg1">
                    <a:lumMod val="85000"/>
                    <a:alpha val="30000"/>
                  </a:schemeClr>
                </a:solidFill>
              </a:ln>
              <a:effectLst/>
            </c:spPr>
            <c:extLst>
              <c:ext xmlns:c16="http://schemas.microsoft.com/office/drawing/2014/chart" uri="{C3380CC4-5D6E-409C-BE32-E72D297353CC}">
                <c16:uniqueId val="{00000009-A9C2-458C-9463-AA70F6E555AA}"/>
              </c:ext>
            </c:extLst>
          </c:dPt>
          <c:dPt>
            <c:idx val="1"/>
            <c:bubble3D val="0"/>
            <c:spPr>
              <a:solidFill>
                <a:schemeClr val="bg1">
                  <a:lumMod val="65000"/>
                </a:schemeClr>
              </a:solidFill>
              <a:ln w="12700">
                <a:solidFill>
                  <a:schemeClr val="bg1">
                    <a:lumMod val="85000"/>
                    <a:alpha val="30000"/>
                  </a:schemeClr>
                </a:solidFill>
              </a:ln>
              <a:effectLst/>
            </c:spPr>
            <c:extLst>
              <c:ext xmlns:c16="http://schemas.microsoft.com/office/drawing/2014/chart" uri="{C3380CC4-5D6E-409C-BE32-E72D297353CC}">
                <c16:uniqueId val="{0000000B-A9C2-458C-9463-AA70F6E555AA}"/>
              </c:ext>
            </c:extLst>
          </c:dPt>
          <c:dPt>
            <c:idx val="2"/>
            <c:bubble3D val="0"/>
            <c:spPr>
              <a:solidFill>
                <a:schemeClr val="tx1">
                  <a:lumMod val="75000"/>
                  <a:lumOff val="25000"/>
                </a:schemeClr>
              </a:solidFill>
              <a:ln w="12700">
                <a:solidFill>
                  <a:schemeClr val="bg1">
                    <a:lumMod val="85000"/>
                    <a:alpha val="30000"/>
                  </a:schemeClr>
                </a:solidFill>
              </a:ln>
              <a:effectLst/>
            </c:spPr>
            <c:extLst>
              <c:ext xmlns:c16="http://schemas.microsoft.com/office/drawing/2014/chart" uri="{C3380CC4-5D6E-409C-BE32-E72D297353CC}">
                <c16:uniqueId val="{0000000D-A9C2-458C-9463-AA70F6E555AA}"/>
              </c:ext>
            </c:extLst>
          </c:dPt>
          <c:dLbls>
            <c:dLbl>
              <c:idx val="0"/>
              <c:layout>
                <c:manualLayout>
                  <c:x val="0.15855445613546093"/>
                  <c:y val="-8.8691781790749213E-2"/>
                </c:manualLayout>
              </c:layout>
              <c:showLegendKey val="0"/>
              <c:showVal val="0"/>
              <c:showCatName val="1"/>
              <c:showSerName val="0"/>
              <c:showPercent val="1"/>
              <c:showBubbleSize val="0"/>
              <c:extLst>
                <c:ext xmlns:c15="http://schemas.microsoft.com/office/drawing/2012/chart" uri="{CE6537A1-D6FC-4f65-9D91-7224C49458BB}">
                  <c15:layout>
                    <c:manualLayout>
                      <c:w val="0.23393770468956868"/>
                      <c:h val="0.19162581922768637"/>
                    </c:manualLayout>
                  </c15:layout>
                </c:ext>
                <c:ext xmlns:c16="http://schemas.microsoft.com/office/drawing/2014/chart" uri="{C3380CC4-5D6E-409C-BE32-E72D297353CC}">
                  <c16:uniqueId val="{00000009-A9C2-458C-9463-AA70F6E555AA}"/>
                </c:ext>
              </c:extLst>
            </c:dLbl>
            <c:dLbl>
              <c:idx val="1"/>
              <c:layout>
                <c:manualLayout>
                  <c:x val="0.12389380530973451"/>
                  <c:y val="5.14909708142769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9C2-458C-9463-AA70F6E555AA}"/>
                </c:ext>
              </c:extLst>
            </c:dLbl>
            <c:dLbl>
              <c:idx val="2"/>
              <c:layout>
                <c:manualLayout>
                  <c:x val="-0.10914465890878684"/>
                  <c:y val="0.117678721297562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9C2-458C-9463-AA70F6E555AA}"/>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rnd">
                  <a:solidFill>
                    <a:schemeClr val="tx1">
                      <a:lumMod val="65000"/>
                      <a:lumOff val="35000"/>
                    </a:schemeClr>
                  </a:solidFill>
                  <a:headEnd type="oval" w="sm" len="sm"/>
                </a:ln>
              </c:spPr>
            </c:leaderLines>
            <c:extLst>
              <c:ext xmlns:c15="http://schemas.microsoft.com/office/drawing/2012/chart" uri="{CE6537A1-D6FC-4f65-9D91-7224C49458BB}">
                <c15:spPr xmlns:c15="http://schemas.microsoft.com/office/drawing/2012/chart">
                  <a:prstGeom prst="wedgeRectCallout">
                    <a:avLst/>
                  </a:prstGeom>
                </c15:spPr>
              </c:ext>
            </c:extLst>
          </c:dLbls>
          <c:cat>
            <c:strRef>
              <c:f>overall_analysis!$A$23:$A$25</c:f>
              <c:strCache>
                <c:ptCount val="3"/>
                <c:pt idx="0">
                  <c:v>Electricity</c:v>
                </c:pt>
                <c:pt idx="1">
                  <c:v>Gas</c:v>
                </c:pt>
                <c:pt idx="2">
                  <c:v>Water</c:v>
                </c:pt>
              </c:strCache>
            </c:strRef>
          </c:cat>
          <c:val>
            <c:numRef>
              <c:f>overall_analysis!$B$23:$B$25</c:f>
              <c:numCache>
                <c:formatCode>\$#,##0.00;\(\$#,##0.00\);\$#,##0.00</c:formatCode>
                <c:ptCount val="3"/>
                <c:pt idx="0">
                  <c:v>2025296.0219000001</c:v>
                </c:pt>
                <c:pt idx="1">
                  <c:v>3011010.8739999998</c:v>
                </c:pt>
                <c:pt idx="2">
                  <c:v>10806192.070599999</c:v>
                </c:pt>
              </c:numCache>
            </c:numRef>
          </c:val>
          <c:extLst>
            <c:ext xmlns:c16="http://schemas.microsoft.com/office/drawing/2014/chart" uri="{C3380CC4-5D6E-409C-BE32-E72D297353CC}">
              <c16:uniqueId val="{0000000E-A9C2-458C-9463-AA70F6E555AA}"/>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Dashboard.xlsx]overall_analysis!attribute cons</c:name>
    <c:fmtId val="1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noFill/>
          </a:ln>
          <a:effectLst/>
        </c:spPr>
      </c:pivotFmt>
      <c:pivotFmt>
        <c:idx val="19"/>
        <c:spPr>
          <a:solidFill>
            <a:schemeClr val="accent2"/>
          </a:solidFill>
          <a:ln w="19050">
            <a:noFill/>
          </a:ln>
          <a:effectLst/>
        </c:spPr>
      </c:pivotFmt>
      <c:pivotFmt>
        <c:idx val="20"/>
        <c:spPr>
          <a:solidFill>
            <a:schemeClr val="accent3"/>
          </a:solidFill>
          <a:ln w="19050">
            <a:noFill/>
          </a:ln>
          <a:effectLst/>
        </c:spPr>
      </c:pivotFmt>
      <c:pivotFmt>
        <c:idx val="21"/>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pivotFmt>
      <c:pivotFmt>
        <c:idx val="23"/>
        <c:spPr>
          <a:solidFill>
            <a:schemeClr val="accent2"/>
          </a:solidFill>
          <a:ln w="19050">
            <a:noFill/>
          </a:ln>
          <a:effectLst/>
        </c:spPr>
      </c:pivotFmt>
      <c:pivotFmt>
        <c:idx val="24"/>
        <c:spPr>
          <a:solidFill>
            <a:schemeClr val="accent3"/>
          </a:solidFill>
          <a:ln w="19050">
            <a:noFill/>
          </a:ln>
          <a:effectLst/>
        </c:spPr>
      </c:pivotFmt>
      <c:pivotFmt>
        <c:idx val="2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solidFill>
            <a:schemeClr val="accent3"/>
          </a:solidFill>
          <a:ln w="19050">
            <a:noFill/>
          </a:ln>
          <a:effectLst/>
        </c:spPr>
      </c:pivotFmt>
      <c:pivotFmt>
        <c:idx val="29"/>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noFill/>
          </a:ln>
          <a:effectLst/>
        </c:spPr>
      </c:pivotFmt>
      <c:pivotFmt>
        <c:idx val="35"/>
        <c:spPr>
          <a:solidFill>
            <a:schemeClr val="accent2"/>
          </a:solidFill>
          <a:ln w="19050">
            <a:noFill/>
          </a:ln>
          <a:effectLst/>
        </c:spPr>
      </c:pivotFmt>
      <c:pivotFmt>
        <c:idx val="36"/>
        <c:spPr>
          <a:solidFill>
            <a:schemeClr val="accent3"/>
          </a:solidFill>
          <a:ln w="19050">
            <a:noFill/>
          </a:ln>
          <a:effectLst/>
        </c:spPr>
      </c:pivotFmt>
      <c:pivotFmt>
        <c:idx val="3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chemeClr val="accent3"/>
          </a:solidFill>
          <a:ln w="19050">
            <a:noFill/>
          </a:ln>
          <a:effectLst/>
        </c:spPr>
      </c:pivotFmt>
      <c:pivotFmt>
        <c:idx val="4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5"/>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6"/>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7"/>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9"/>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0"/>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2"/>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3"/>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6"/>
        <c:spPr>
          <a:solidFill>
            <a:schemeClr val="bg1">
              <a:lumMod val="85000"/>
            </a:schemeClr>
          </a:solidFill>
          <a:ln w="12700">
            <a:solidFill>
              <a:schemeClr val="bg1">
                <a:lumMod val="85000"/>
                <a:alpha val="30000"/>
              </a:schemeClr>
            </a:solidFill>
          </a:ln>
          <a:effectLst/>
        </c:spPr>
        <c:dLbl>
          <c:idx val="0"/>
          <c:layout>
            <c:manualLayout>
              <c:x val="2.6686371794620623E-2"/>
              <c:y val="-0.13498814291801348"/>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9218212604"/>
                  <c:h val="0.13607028288130651"/>
                </c:manualLayout>
              </c15:layout>
            </c:ext>
          </c:extLst>
        </c:dLbl>
      </c:pivotFmt>
      <c:pivotFmt>
        <c:idx val="67"/>
        <c:spPr>
          <a:solidFill>
            <a:schemeClr val="bg1">
              <a:lumMod val="65000"/>
            </a:schemeClr>
          </a:solidFill>
          <a:ln w="12700">
            <a:solidFill>
              <a:schemeClr val="bg1">
                <a:lumMod val="85000"/>
                <a:alpha val="30000"/>
              </a:schemeClr>
            </a:solidFill>
          </a:ln>
          <a:effectLst/>
        </c:spPr>
        <c:dLbl>
          <c:idx val="0"/>
          <c:layout>
            <c:manualLayout>
              <c:x val="0.13708050979302241"/>
              <c:y val="-9.2027559055118113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8"/>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10859870392307157"/>
          <c:y val="0.12456108255929087"/>
          <c:w val="0.68293847118667683"/>
          <c:h val="0.73937290772785125"/>
        </c:manualLayout>
      </c:layout>
      <c:doughnutChart>
        <c:varyColors val="1"/>
        <c:ser>
          <c:idx val="0"/>
          <c:order val="0"/>
          <c:tx>
            <c:strRef>
              <c:f>overall_analysis!$E$22</c:f>
              <c:strCache>
                <c:ptCount val="1"/>
                <c:pt idx="0">
                  <c:v>Total</c:v>
                </c:pt>
              </c:strCache>
            </c:strRef>
          </c:tx>
          <c:spPr>
            <a:ln w="12700">
              <a:solidFill>
                <a:schemeClr val="bg1">
                  <a:lumMod val="85000"/>
                  <a:alpha val="30000"/>
                </a:schemeClr>
              </a:solidFill>
            </a:ln>
          </c:spPr>
          <c:dPt>
            <c:idx val="0"/>
            <c:bubble3D val="0"/>
            <c:spPr>
              <a:solidFill>
                <a:schemeClr val="bg1">
                  <a:lumMod val="85000"/>
                </a:schemeClr>
              </a:solidFill>
              <a:ln w="12700">
                <a:solidFill>
                  <a:schemeClr val="bg1">
                    <a:lumMod val="85000"/>
                    <a:alpha val="30000"/>
                  </a:schemeClr>
                </a:solidFill>
              </a:ln>
              <a:effectLst/>
            </c:spPr>
            <c:extLst>
              <c:ext xmlns:c16="http://schemas.microsoft.com/office/drawing/2014/chart" uri="{C3380CC4-5D6E-409C-BE32-E72D297353CC}">
                <c16:uniqueId val="{00000011-8203-4F98-A32C-7F3AE485C6E5}"/>
              </c:ext>
            </c:extLst>
          </c:dPt>
          <c:dPt>
            <c:idx val="1"/>
            <c:bubble3D val="0"/>
            <c:spPr>
              <a:solidFill>
                <a:schemeClr val="bg1">
                  <a:lumMod val="65000"/>
                </a:schemeClr>
              </a:solidFill>
              <a:ln w="12700">
                <a:solidFill>
                  <a:schemeClr val="bg1">
                    <a:lumMod val="85000"/>
                    <a:alpha val="30000"/>
                  </a:schemeClr>
                </a:solidFill>
              </a:ln>
              <a:effectLst/>
            </c:spPr>
            <c:extLst>
              <c:ext xmlns:c16="http://schemas.microsoft.com/office/drawing/2014/chart" uri="{C3380CC4-5D6E-409C-BE32-E72D297353CC}">
                <c16:uniqueId val="{00000013-8203-4F98-A32C-7F3AE485C6E5}"/>
              </c:ext>
            </c:extLst>
          </c:dPt>
          <c:dPt>
            <c:idx val="2"/>
            <c:bubble3D val="0"/>
            <c:spPr>
              <a:solidFill>
                <a:schemeClr val="tx1">
                  <a:lumMod val="75000"/>
                  <a:lumOff val="25000"/>
                </a:schemeClr>
              </a:solidFill>
              <a:ln w="12700">
                <a:solidFill>
                  <a:schemeClr val="bg1">
                    <a:lumMod val="85000"/>
                    <a:alpha val="30000"/>
                  </a:schemeClr>
                </a:solidFill>
              </a:ln>
              <a:effectLst/>
            </c:spPr>
            <c:extLst>
              <c:ext xmlns:c16="http://schemas.microsoft.com/office/drawing/2014/chart" uri="{C3380CC4-5D6E-409C-BE32-E72D297353CC}">
                <c16:uniqueId val="{00000015-8203-4F98-A32C-7F3AE485C6E5}"/>
              </c:ext>
            </c:extLst>
          </c:dPt>
          <c:dLbls>
            <c:dLbl>
              <c:idx val="0"/>
              <c:layout>
                <c:manualLayout>
                  <c:x val="2.6686371794620623E-2"/>
                  <c:y val="-0.13498814291801348"/>
                </c:manualLayout>
              </c:layout>
              <c:showLegendKey val="0"/>
              <c:showVal val="0"/>
              <c:showCatName val="1"/>
              <c:showSerName val="0"/>
              <c:showPercent val="1"/>
              <c:showBubbleSize val="0"/>
              <c:extLst>
                <c:ext xmlns:c15="http://schemas.microsoft.com/office/drawing/2012/chart" uri="{CE6537A1-D6FC-4f65-9D91-7224C49458BB}">
                  <c15:layout>
                    <c:manualLayout>
                      <c:w val="0.23393779218212604"/>
                      <c:h val="0.13607028288130651"/>
                    </c:manualLayout>
                  </c15:layout>
                </c:ext>
                <c:ext xmlns:c16="http://schemas.microsoft.com/office/drawing/2014/chart" uri="{C3380CC4-5D6E-409C-BE32-E72D297353CC}">
                  <c16:uniqueId val="{00000011-8203-4F98-A32C-7F3AE485C6E5}"/>
                </c:ext>
              </c:extLst>
            </c:dLbl>
            <c:dLbl>
              <c:idx val="1"/>
              <c:layout>
                <c:manualLayout>
                  <c:x val="0.13708050979302241"/>
                  <c:y val="-9.20275590551181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8203-4F98-A32C-7F3AE485C6E5}"/>
                </c:ext>
              </c:extLst>
            </c:dLbl>
            <c:dLbl>
              <c:idx val="2"/>
              <c:layout>
                <c:manualLayout>
                  <c:x val="-0.10914465890878684"/>
                  <c:y val="0.117678721297562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8203-4F98-A32C-7F3AE485C6E5}"/>
                </c:ext>
              </c:extLst>
            </c:dLbl>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rnd">
                  <a:solidFill>
                    <a:schemeClr val="tx1">
                      <a:lumMod val="65000"/>
                      <a:lumOff val="35000"/>
                    </a:schemeClr>
                  </a:solidFill>
                  <a:headEnd type="oval" w="sm" len="sm"/>
                </a:ln>
              </c:spPr>
            </c:leaderLines>
            <c:extLst>
              <c:ext xmlns:c15="http://schemas.microsoft.com/office/drawing/2012/chart" uri="{CE6537A1-D6FC-4f65-9D91-7224C49458BB}">
                <c15:spPr xmlns:c15="http://schemas.microsoft.com/office/drawing/2012/chart">
                  <a:prstGeom prst="wedgeRectCallout">
                    <a:avLst/>
                  </a:prstGeom>
                </c15:spPr>
              </c:ext>
            </c:extLst>
          </c:dLbls>
          <c:cat>
            <c:strRef>
              <c:f>overall_analysis!$D$23:$D$25</c:f>
              <c:strCache>
                <c:ptCount val="3"/>
                <c:pt idx="0">
                  <c:v>Electricity</c:v>
                </c:pt>
                <c:pt idx="1">
                  <c:v>Gas</c:v>
                </c:pt>
                <c:pt idx="2">
                  <c:v>Water</c:v>
                </c:pt>
              </c:strCache>
            </c:strRef>
          </c:cat>
          <c:val>
            <c:numRef>
              <c:f>overall_analysis!$E$23:$E$25</c:f>
              <c:numCache>
                <c:formatCode>_(* #,##0_);_(* \(#,##0\);_(* "-"??_);_(@_)</c:formatCode>
                <c:ptCount val="3"/>
                <c:pt idx="0">
                  <c:v>21666978</c:v>
                </c:pt>
                <c:pt idx="1">
                  <c:v>2553088</c:v>
                </c:pt>
                <c:pt idx="2">
                  <c:v>186245327</c:v>
                </c:pt>
              </c:numCache>
            </c:numRef>
          </c:val>
          <c:extLst>
            <c:ext xmlns:c16="http://schemas.microsoft.com/office/drawing/2014/chart" uri="{C3380CC4-5D6E-409C-BE32-E72D297353CC}">
              <c16:uniqueId val="{00000016-8203-4F98-A32C-7F3AE485C6E5}"/>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Dashboard.xlsx]overall_analysis!MONTH CONS</c:name>
    <c:fmtId val="18"/>
  </c:pivotSource>
  <c:chart>
    <c:title>
      <c:tx>
        <c:rich>
          <a:bodyPr/>
          <a:lstStyle/>
          <a:p>
            <a:pPr>
              <a:defRPr sz="1400" b="1">
                <a:solidFill>
                  <a:schemeClr val="bg1"/>
                </a:solidFill>
                <a:latin typeface="Aptos Narrow (Body)"/>
              </a:defRPr>
            </a:pPr>
            <a:r>
              <a:rPr lang="en-US" sz="1400" b="1">
                <a:solidFill>
                  <a:schemeClr val="bg1"/>
                </a:solidFill>
                <a:latin typeface="Aptos Narrow (Body)"/>
              </a:rPr>
              <a:t>Consumption Flow</a:t>
            </a:r>
            <a:r>
              <a:rPr lang="en-US" sz="1400" b="1" baseline="0">
                <a:solidFill>
                  <a:schemeClr val="bg1"/>
                </a:solidFill>
                <a:latin typeface="Aptos Narrow (Body)"/>
              </a:rPr>
              <a:t> Trend</a:t>
            </a:r>
            <a:endParaRPr lang="en-US" sz="1400" b="1">
              <a:solidFill>
                <a:schemeClr val="bg1"/>
              </a:solidFill>
              <a:latin typeface="Aptos Narrow (Body)"/>
            </a:endParaRP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6"/>
      </c:pivotFmt>
      <c:pivotFmt>
        <c:idx val="17"/>
      </c:pivotFmt>
      <c:pivotFmt>
        <c:idx val="18"/>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0"/>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overall_analysis!$E$6</c:f>
              <c:strCache>
                <c:ptCount val="1"/>
                <c:pt idx="0">
                  <c:v>Total</c:v>
                </c:pt>
              </c:strCache>
            </c:strRef>
          </c:tx>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cat>
            <c:strRef>
              <c:f>overall_analysis!$D$7:$D$18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overall_analysis!$E$7:$E$18</c:f>
              <c:numCache>
                <c:formatCode>_(* #,##0_);_(* \(#,##0\);_(* "-"??_);_(@_)</c:formatCode>
                <c:ptCount val="12"/>
                <c:pt idx="0">
                  <c:v>17922787</c:v>
                </c:pt>
                <c:pt idx="1">
                  <c:v>17945905</c:v>
                </c:pt>
                <c:pt idx="2">
                  <c:v>17220557</c:v>
                </c:pt>
                <c:pt idx="3">
                  <c:v>18440767</c:v>
                </c:pt>
                <c:pt idx="4">
                  <c:v>17670431</c:v>
                </c:pt>
                <c:pt idx="5">
                  <c:v>17527671</c:v>
                </c:pt>
                <c:pt idx="6">
                  <c:v>17519117</c:v>
                </c:pt>
                <c:pt idx="7">
                  <c:v>16944972</c:v>
                </c:pt>
                <c:pt idx="8">
                  <c:v>16992745</c:v>
                </c:pt>
                <c:pt idx="9">
                  <c:v>17578072</c:v>
                </c:pt>
                <c:pt idx="10">
                  <c:v>17255821</c:v>
                </c:pt>
                <c:pt idx="11">
                  <c:v>17446548</c:v>
                </c:pt>
              </c:numCache>
            </c:numRef>
          </c:val>
          <c:smooth val="1"/>
          <c:extLst>
            <c:ext xmlns:c16="http://schemas.microsoft.com/office/drawing/2014/chart" uri="{C3380CC4-5D6E-409C-BE32-E72D297353CC}">
              <c16:uniqueId val="{00000002-D045-446F-9366-BDC2B46CC014}"/>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a:prstDash val="dashDot"/>
            </a:ln>
          </c:spPr>
        </c:majorGridlines>
        <c:numFmt formatCode="[&gt;=1000000]#,##0,,&quot; M&quot;;[&gt;=1000]#,##0,&quot; K&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8563934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Dashboard.xlsx]overall_analysis!MONTH PRICE</c:name>
    <c:fmtId val="16"/>
  </c:pivotSource>
  <c:chart>
    <c:title>
      <c:tx>
        <c:rich>
          <a:bodyPr/>
          <a:lstStyle/>
          <a:p>
            <a:pPr>
              <a:defRPr sz="1400" b="1">
                <a:solidFill>
                  <a:schemeClr val="bg1"/>
                </a:solidFill>
                <a:latin typeface="Aptos Narrow (Body)"/>
              </a:defRPr>
            </a:pPr>
            <a:r>
              <a:rPr lang="en-US" sz="1400" b="1">
                <a:solidFill>
                  <a:schemeClr val="bg1"/>
                </a:solidFill>
                <a:latin typeface="Aptos Narrow (Body)"/>
              </a:rPr>
              <a:t>Monthly Financial Outflow</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6"/>
      </c:pivotFmt>
      <c:pivotFmt>
        <c:idx val="17"/>
      </c:pivotFmt>
      <c:pivotFmt>
        <c:idx val="18"/>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0"/>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1"/>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2"/>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3"/>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overall_analysis!$H$6</c:f>
              <c:strCache>
                <c:ptCount val="1"/>
                <c:pt idx="0">
                  <c:v>Total</c:v>
                </c:pt>
              </c:strCache>
            </c:strRef>
          </c:tx>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cat>
            <c:strRef>
              <c:f>overall_analysis!$G$7:$G$18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overall_analysis!$H$7:$H$18</c:f>
              <c:numCache>
                <c:formatCode>\$#,##0.00;\(\$#,##0.00\);\$#,##0.00</c:formatCode>
                <c:ptCount val="12"/>
                <c:pt idx="0">
                  <c:v>1318430.8836999999</c:v>
                </c:pt>
                <c:pt idx="1">
                  <c:v>1342784.0615999999</c:v>
                </c:pt>
                <c:pt idx="2">
                  <c:v>1291760.4117000001</c:v>
                </c:pt>
                <c:pt idx="3">
                  <c:v>1366221.3583</c:v>
                </c:pt>
                <c:pt idx="4">
                  <c:v>1324609.5225</c:v>
                </c:pt>
                <c:pt idx="5">
                  <c:v>1324211.7781</c:v>
                </c:pt>
                <c:pt idx="6">
                  <c:v>1335520.9013</c:v>
                </c:pt>
                <c:pt idx="7">
                  <c:v>1275236.8363000001</c:v>
                </c:pt>
                <c:pt idx="8">
                  <c:v>1308403.3230000001</c:v>
                </c:pt>
                <c:pt idx="9">
                  <c:v>1331786.3082000001</c:v>
                </c:pt>
                <c:pt idx="10">
                  <c:v>1311937.4343000001</c:v>
                </c:pt>
                <c:pt idx="11">
                  <c:v>1311596.1475</c:v>
                </c:pt>
              </c:numCache>
            </c:numRef>
          </c:val>
          <c:smooth val="1"/>
          <c:extLst>
            <c:ext xmlns:c16="http://schemas.microsoft.com/office/drawing/2014/chart" uri="{C3380CC4-5D6E-409C-BE32-E72D297353CC}">
              <c16:uniqueId val="{00000002-7DFF-4B65-A574-BD6D10120CEC}"/>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a:prstDash val="dashDot"/>
            </a:ln>
          </c:spPr>
        </c:majorGridlines>
        <c:numFmt formatCode="[&gt;=1000000]&quot;$&quot;0.00,,&quot; M&quot;;[&gt;=1000]&quot;$&quot;0.00,&quot; K&quot;;&quot;$&quot;0.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8563934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Dashboard.xlsx]overall_analysis!buildings cons</c:name>
    <c:fmtId val="2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Buildings Efficiency</a:t>
            </a:r>
            <a:r>
              <a:rPr lang="en-US" baseline="0">
                <a:solidFill>
                  <a:schemeClr val="tx1"/>
                </a:solidFill>
              </a:rPr>
              <a:t> Ranking</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overall_analysis!$B$14</c:f>
              <c:strCache>
                <c:ptCount val="1"/>
                <c:pt idx="0">
                  <c:v>Total</c:v>
                </c:pt>
              </c:strCache>
            </c:strRef>
          </c:tx>
          <c:spPr>
            <a:solidFill>
              <a:schemeClr val="tx1">
                <a:lumMod val="85000"/>
                <a:lumOff val="15000"/>
              </a:schemeClr>
            </a:solidFill>
            <a:ln w="12700">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overall_analysis!$A$15:$A$19</c:f>
              <c:strCache>
                <c:ptCount val="5"/>
                <c:pt idx="0">
                  <c:v>B1003</c:v>
                </c:pt>
                <c:pt idx="1">
                  <c:v>B1001</c:v>
                </c:pt>
                <c:pt idx="2">
                  <c:v>B1000</c:v>
                </c:pt>
                <c:pt idx="3">
                  <c:v>B1008</c:v>
                </c:pt>
                <c:pt idx="4">
                  <c:v>B1006</c:v>
                </c:pt>
              </c:strCache>
            </c:strRef>
          </c:cat>
          <c:val>
            <c:numRef>
              <c:f>overall_analysis!$B$15:$B$19</c:f>
              <c:numCache>
                <c:formatCode>General</c:formatCode>
                <c:ptCount val="5"/>
                <c:pt idx="0">
                  <c:v>19509215</c:v>
                </c:pt>
                <c:pt idx="1">
                  <c:v>19518032</c:v>
                </c:pt>
                <c:pt idx="2">
                  <c:v>19535663</c:v>
                </c:pt>
                <c:pt idx="3">
                  <c:v>19913988</c:v>
                </c:pt>
                <c:pt idx="4">
                  <c:v>20105096</c:v>
                </c:pt>
              </c:numCache>
            </c:numRef>
          </c:val>
          <c:extLst>
            <c:ext xmlns:c16="http://schemas.microsoft.com/office/drawing/2014/chart" uri="{C3380CC4-5D6E-409C-BE32-E72D297353CC}">
              <c16:uniqueId val="{00000000-2FA7-475E-BDC0-B9D19AA18907}"/>
            </c:ext>
          </c:extLst>
        </c:ser>
        <c:dLbls>
          <c:dLblPos val="outEnd"/>
          <c:showLegendKey val="0"/>
          <c:showVal val="1"/>
          <c:showCatName val="0"/>
          <c:showSerName val="0"/>
          <c:showPercent val="0"/>
          <c:showBubbleSize val="0"/>
        </c:dLbls>
        <c:gapWidth val="23"/>
        <c:axId val="1557341199"/>
        <c:axId val="1557361839"/>
      </c:barChart>
      <c:catAx>
        <c:axId val="15573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7361839"/>
        <c:crosses val="autoZero"/>
        <c:auto val="1"/>
        <c:lblAlgn val="ctr"/>
        <c:lblOffset val="100"/>
        <c:noMultiLvlLbl val="0"/>
      </c:catAx>
      <c:valAx>
        <c:axId val="1557361839"/>
        <c:scaling>
          <c:orientation val="minMax"/>
        </c:scaling>
        <c:delete val="1"/>
        <c:axPos val="b"/>
        <c:numFmt formatCode="General" sourceLinked="1"/>
        <c:majorTickMark val="none"/>
        <c:minorTickMark val="none"/>
        <c:tickLblPos val="nextTo"/>
        <c:crossAx val="155734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Dashboard.xlsx]overall_analysis!buildings price</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Buildings Cost</a:t>
            </a:r>
            <a:r>
              <a:rPr lang="en-US" baseline="0">
                <a:solidFill>
                  <a:schemeClr val="bg1"/>
                </a:solidFill>
              </a:rPr>
              <a:t> Rank</a:t>
            </a:r>
            <a:r>
              <a:rPr lang="en-US">
                <a:solidFill>
                  <a:schemeClr val="bg1"/>
                </a:solidFill>
              </a:rPr>
              <a:t>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2700">
            <a:noFill/>
          </a:ln>
          <a:effectLst/>
        </c:spPr>
        <c:marker>
          <c:symbol val="none"/>
        </c:marker>
        <c:dLbl>
          <c:idx val="0"/>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overall_analysis!$B$6</c:f>
              <c:strCache>
                <c:ptCount val="1"/>
                <c:pt idx="0">
                  <c:v>Total</c:v>
                </c:pt>
              </c:strCache>
            </c:strRef>
          </c:tx>
          <c:spPr>
            <a:solidFill>
              <a:schemeClr val="bg1">
                <a:lumMod val="85000"/>
              </a:schemeClr>
            </a:solidFill>
            <a:ln w="12700">
              <a:noFill/>
            </a:ln>
            <a:effectLst/>
          </c:spPr>
          <c:invertIfNegative val="0"/>
          <c:dLbls>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overall_analysis!$A$7:$A$11</c:f>
              <c:strCache>
                <c:ptCount val="5"/>
                <c:pt idx="0">
                  <c:v>B1003</c:v>
                </c:pt>
                <c:pt idx="1">
                  <c:v>B1000</c:v>
                </c:pt>
                <c:pt idx="2">
                  <c:v>B1001</c:v>
                </c:pt>
                <c:pt idx="3">
                  <c:v>B1006</c:v>
                </c:pt>
                <c:pt idx="4">
                  <c:v>B1008</c:v>
                </c:pt>
              </c:strCache>
            </c:strRef>
          </c:cat>
          <c:val>
            <c:numRef>
              <c:f>overall_analysis!$B$7:$B$11</c:f>
              <c:numCache>
                <c:formatCode>\$#,##0.00;\(\$#,##0.00\);\$#,##0.00</c:formatCode>
                <c:ptCount val="5"/>
                <c:pt idx="0">
                  <c:v>1461989.7930000001</c:v>
                </c:pt>
                <c:pt idx="1">
                  <c:v>1468356.716</c:v>
                </c:pt>
                <c:pt idx="2">
                  <c:v>1477667.4819</c:v>
                </c:pt>
                <c:pt idx="3">
                  <c:v>1479068.1111999999</c:v>
                </c:pt>
                <c:pt idx="4">
                  <c:v>1496830.0952000001</c:v>
                </c:pt>
              </c:numCache>
            </c:numRef>
          </c:val>
          <c:extLst>
            <c:ext xmlns:c16="http://schemas.microsoft.com/office/drawing/2014/chart" uri="{C3380CC4-5D6E-409C-BE32-E72D297353CC}">
              <c16:uniqueId val="{00000002-8CAF-4C39-B545-2EB40D5DA0AA}"/>
            </c:ext>
          </c:extLst>
        </c:ser>
        <c:dLbls>
          <c:dLblPos val="outEnd"/>
          <c:showLegendKey val="0"/>
          <c:showVal val="1"/>
          <c:showCatName val="0"/>
          <c:showSerName val="0"/>
          <c:showPercent val="0"/>
          <c:showBubbleSize val="0"/>
        </c:dLbls>
        <c:gapWidth val="23"/>
        <c:axId val="1557341199"/>
        <c:axId val="1557361839"/>
      </c:barChart>
      <c:catAx>
        <c:axId val="15573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7361839"/>
        <c:crosses val="autoZero"/>
        <c:auto val="1"/>
        <c:lblAlgn val="ctr"/>
        <c:lblOffset val="100"/>
        <c:noMultiLvlLbl val="0"/>
      </c:catAx>
      <c:valAx>
        <c:axId val="1557361839"/>
        <c:scaling>
          <c:orientation val="minMax"/>
        </c:scaling>
        <c:delete val="1"/>
        <c:axPos val="b"/>
        <c:numFmt formatCode="\$#,##0.00;\(\$#,##0.00\);\$#,##0.00" sourceLinked="1"/>
        <c:majorTickMark val="none"/>
        <c:minorTickMark val="none"/>
        <c:tickLblPos val="nextTo"/>
        <c:crossAx val="1557341199"/>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Dashboard.xlsx]overall_analysis!cities cons</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Regional Energy 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overall_analysis!$K$22</c:f>
              <c:strCache>
                <c:ptCount val="1"/>
                <c:pt idx="0">
                  <c:v>Total</c:v>
                </c:pt>
              </c:strCache>
            </c:strRef>
          </c:tx>
          <c:spPr>
            <a:solidFill>
              <a:schemeClr val="tx1">
                <a:lumMod val="85000"/>
                <a:lumOff val="15000"/>
              </a:schemeClr>
            </a:solidFill>
            <a:ln>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overall_analysis!$J$23:$J$27</c:f>
              <c:strCache>
                <c:ptCount val="5"/>
                <c:pt idx="0">
                  <c:v>New York</c:v>
                </c:pt>
                <c:pt idx="1">
                  <c:v>Chicago</c:v>
                </c:pt>
                <c:pt idx="2">
                  <c:v>Los Angeles</c:v>
                </c:pt>
                <c:pt idx="3">
                  <c:v>Phoenix</c:v>
                </c:pt>
                <c:pt idx="4">
                  <c:v>Houston</c:v>
                </c:pt>
              </c:strCache>
            </c:strRef>
          </c:cat>
          <c:val>
            <c:numRef>
              <c:f>overall_analysis!$K$23:$K$27</c:f>
              <c:numCache>
                <c:formatCode>General</c:formatCode>
                <c:ptCount val="5"/>
                <c:pt idx="0">
                  <c:v>57287047</c:v>
                </c:pt>
                <c:pt idx="1">
                  <c:v>56946051</c:v>
                </c:pt>
                <c:pt idx="2">
                  <c:v>56724642</c:v>
                </c:pt>
                <c:pt idx="3">
                  <c:v>20105096</c:v>
                </c:pt>
                <c:pt idx="4">
                  <c:v>19402557</c:v>
                </c:pt>
              </c:numCache>
            </c:numRef>
          </c:val>
          <c:extLst>
            <c:ext xmlns:c16="http://schemas.microsoft.com/office/drawing/2014/chart" uri="{C3380CC4-5D6E-409C-BE32-E72D297353CC}">
              <c16:uniqueId val="{00000000-E121-4139-95F0-4628549C34B1}"/>
            </c:ext>
          </c:extLst>
        </c:ser>
        <c:dLbls>
          <c:dLblPos val="outEnd"/>
          <c:showLegendKey val="0"/>
          <c:showVal val="1"/>
          <c:showCatName val="0"/>
          <c:showSerName val="0"/>
          <c:showPercent val="0"/>
          <c:showBubbleSize val="0"/>
        </c:dLbls>
        <c:gapWidth val="21"/>
        <c:overlap val="-27"/>
        <c:axId val="1157701071"/>
        <c:axId val="1157697231"/>
      </c:barChart>
      <c:catAx>
        <c:axId val="11577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7697231"/>
        <c:crosses val="autoZero"/>
        <c:auto val="1"/>
        <c:lblAlgn val="ctr"/>
        <c:lblOffset val="100"/>
        <c:noMultiLvlLbl val="0"/>
      </c:catAx>
      <c:valAx>
        <c:axId val="1157697231"/>
        <c:scaling>
          <c:orientation val="minMax"/>
        </c:scaling>
        <c:delete val="1"/>
        <c:axPos val="l"/>
        <c:numFmt formatCode="General" sourceLinked="1"/>
        <c:majorTickMark val="none"/>
        <c:minorTickMark val="none"/>
        <c:tickLblPos val="nextTo"/>
        <c:crossAx val="115770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Dashboard.xlsx]overall_analysis!cities price</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Regional</a:t>
            </a:r>
            <a:r>
              <a:rPr lang="en-US" baseline="0">
                <a:solidFill>
                  <a:schemeClr val="bg1"/>
                </a:solidFill>
              </a:rPr>
              <a:t> Financial Rank</a:t>
            </a:r>
            <a:endParaRPr lang="en-US">
              <a:solidFill>
                <a:schemeClr val="bg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overall_analysis!$H$22</c:f>
              <c:strCache>
                <c:ptCount val="1"/>
                <c:pt idx="0">
                  <c:v>Total</c:v>
                </c:pt>
              </c:strCache>
            </c:strRef>
          </c:tx>
          <c:spPr>
            <a:solidFill>
              <a:schemeClr val="bg1">
                <a:lumMod val="85000"/>
              </a:schemeClr>
            </a:solidFill>
            <a:ln>
              <a:noFill/>
            </a:ln>
            <a:effectLst/>
          </c:spPr>
          <c:invertIfNegative val="0"/>
          <c:dLbls>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overall_analysis!$G$23:$G$27</c:f>
              <c:strCache>
                <c:ptCount val="5"/>
                <c:pt idx="0">
                  <c:v>New York</c:v>
                </c:pt>
                <c:pt idx="1">
                  <c:v>Chicago</c:v>
                </c:pt>
                <c:pt idx="2">
                  <c:v>Los Angeles</c:v>
                </c:pt>
                <c:pt idx="3">
                  <c:v>Phoenix</c:v>
                </c:pt>
                <c:pt idx="4">
                  <c:v>Houston</c:v>
                </c:pt>
              </c:strCache>
            </c:strRef>
          </c:cat>
          <c:val>
            <c:numRef>
              <c:f>overall_analysis!$H$23:$H$27</c:f>
              <c:numCache>
                <c:formatCode>\$#,##0.00;\(\$#,##0.00\);\$#,##0.00</c:formatCode>
                <c:ptCount val="5"/>
                <c:pt idx="0">
                  <c:v>4335044.4248000002</c:v>
                </c:pt>
                <c:pt idx="1">
                  <c:v>4307315.5563000003</c:v>
                </c:pt>
                <c:pt idx="2">
                  <c:v>4280143.1293000001</c:v>
                </c:pt>
                <c:pt idx="3">
                  <c:v>1479068.1111999999</c:v>
                </c:pt>
                <c:pt idx="4">
                  <c:v>1440927.7449</c:v>
                </c:pt>
              </c:numCache>
            </c:numRef>
          </c:val>
          <c:extLst>
            <c:ext xmlns:c16="http://schemas.microsoft.com/office/drawing/2014/chart" uri="{C3380CC4-5D6E-409C-BE32-E72D297353CC}">
              <c16:uniqueId val="{00000002-40EF-4E26-A658-38DA706AD68A}"/>
            </c:ext>
          </c:extLst>
        </c:ser>
        <c:dLbls>
          <c:dLblPos val="outEnd"/>
          <c:showLegendKey val="0"/>
          <c:showVal val="1"/>
          <c:showCatName val="0"/>
          <c:showSerName val="0"/>
          <c:showPercent val="0"/>
          <c:showBubbleSize val="0"/>
        </c:dLbls>
        <c:gapWidth val="21"/>
        <c:overlap val="-27"/>
        <c:axId val="1157701071"/>
        <c:axId val="1157697231"/>
      </c:barChart>
      <c:catAx>
        <c:axId val="11577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7697231"/>
        <c:crosses val="autoZero"/>
        <c:auto val="1"/>
        <c:lblAlgn val="ctr"/>
        <c:lblOffset val="100"/>
        <c:noMultiLvlLbl val="0"/>
      </c:catAx>
      <c:valAx>
        <c:axId val="1157697231"/>
        <c:scaling>
          <c:orientation val="minMax"/>
        </c:scaling>
        <c:delete val="1"/>
        <c:axPos val="l"/>
        <c:numFmt formatCode="\$#,##0.00;\(\$#,##0.00\);\$#,##0.00" sourceLinked="1"/>
        <c:majorTickMark val="none"/>
        <c:minorTickMark val="none"/>
        <c:tickLblPos val="nextTo"/>
        <c:crossAx val="1157701071"/>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Dashboard.xlsx]electricity_analysis!year cons</c:name>
    <c:fmtId val="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noFill/>
          </a:ln>
          <a:effectLst/>
        </c:spPr>
      </c:pivotFmt>
      <c:pivotFmt>
        <c:idx val="19"/>
        <c:spPr>
          <a:solidFill>
            <a:schemeClr val="accent2"/>
          </a:solidFill>
          <a:ln w="19050">
            <a:noFill/>
          </a:ln>
          <a:effectLst/>
        </c:spPr>
      </c:pivotFmt>
      <c:pivotFmt>
        <c:idx val="20"/>
        <c:spPr>
          <a:solidFill>
            <a:schemeClr val="accent3"/>
          </a:solidFill>
          <a:ln w="19050">
            <a:noFill/>
          </a:ln>
          <a:effectLst/>
        </c:spPr>
      </c:pivotFmt>
      <c:pivotFmt>
        <c:idx val="21"/>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pivotFmt>
      <c:pivotFmt>
        <c:idx val="23"/>
        <c:spPr>
          <a:solidFill>
            <a:schemeClr val="accent2"/>
          </a:solidFill>
          <a:ln w="19050">
            <a:noFill/>
          </a:ln>
          <a:effectLst/>
        </c:spPr>
      </c:pivotFmt>
      <c:pivotFmt>
        <c:idx val="24"/>
        <c:spPr>
          <a:solidFill>
            <a:schemeClr val="accent3"/>
          </a:solidFill>
          <a:ln w="19050">
            <a:noFill/>
          </a:ln>
          <a:effectLst/>
        </c:spPr>
      </c:pivotFmt>
      <c:pivotFmt>
        <c:idx val="2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solidFill>
            <a:schemeClr val="accent3"/>
          </a:solidFill>
          <a:ln w="19050">
            <a:noFill/>
          </a:ln>
          <a:effectLst/>
        </c:spPr>
      </c:pivotFmt>
      <c:pivotFmt>
        <c:idx val="29"/>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noFill/>
          </a:ln>
          <a:effectLst/>
        </c:spPr>
      </c:pivotFmt>
      <c:pivotFmt>
        <c:idx val="35"/>
        <c:spPr>
          <a:solidFill>
            <a:schemeClr val="accent2"/>
          </a:solidFill>
          <a:ln w="19050">
            <a:noFill/>
          </a:ln>
          <a:effectLst/>
        </c:spPr>
      </c:pivotFmt>
      <c:pivotFmt>
        <c:idx val="36"/>
        <c:spPr>
          <a:solidFill>
            <a:schemeClr val="accent3"/>
          </a:solidFill>
          <a:ln w="19050">
            <a:noFill/>
          </a:ln>
          <a:effectLst/>
        </c:spPr>
      </c:pivotFmt>
      <c:pivotFmt>
        <c:idx val="3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chemeClr val="accent3"/>
          </a:solidFill>
          <a:ln w="19050">
            <a:noFill/>
          </a:ln>
          <a:effectLst/>
        </c:spPr>
      </c:pivotFmt>
      <c:pivotFmt>
        <c:idx val="4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5"/>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6"/>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7"/>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9"/>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0"/>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2"/>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3"/>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6"/>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7"/>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8"/>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0"/>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71"/>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2"/>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7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0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0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1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4"/>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15"/>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6"/>
        <c:spPr>
          <a:solidFill>
            <a:srgbClr val="4DBB5F"/>
          </a:solidFill>
          <a:ln w="12700">
            <a:solidFill>
              <a:schemeClr val="bg1">
                <a:lumMod val="85000"/>
                <a:alpha val="30000"/>
              </a:schemeClr>
            </a:solidFill>
          </a:ln>
          <a:effectLst/>
        </c:spPr>
        <c:dLbl>
          <c:idx val="0"/>
          <c:layout>
            <c:manualLayout>
              <c:x val="-0.1487016456803659"/>
              <c:y val="8.990084572761737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7"/>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9"/>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20"/>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1"/>
        <c:spPr>
          <a:solidFill>
            <a:srgbClr val="4DBB5F"/>
          </a:solidFill>
          <a:ln w="12700">
            <a:solidFill>
              <a:schemeClr val="bg1">
                <a:lumMod val="85000"/>
                <a:alpha val="30000"/>
              </a:schemeClr>
            </a:solidFill>
          </a:ln>
          <a:effectLst/>
        </c:spPr>
        <c:dLbl>
          <c:idx val="0"/>
          <c:layout>
            <c:manualLayout>
              <c:x val="-0.1487016456803659"/>
              <c:y val="8.990084572761737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2"/>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4"/>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25"/>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6"/>
        <c:spPr>
          <a:solidFill>
            <a:srgbClr val="4DBB5F"/>
          </a:solidFill>
          <a:ln w="12700">
            <a:solidFill>
              <a:schemeClr val="bg1">
                <a:lumMod val="85000"/>
                <a:alpha val="30000"/>
              </a:schemeClr>
            </a:solidFill>
          </a:ln>
          <a:effectLst/>
        </c:spPr>
        <c:dLbl>
          <c:idx val="0"/>
          <c:layout>
            <c:manualLayout>
              <c:x val="-0.1487016456803659"/>
              <c:y val="8.990084572761737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7"/>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9"/>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30"/>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1"/>
        <c:spPr>
          <a:solidFill>
            <a:srgbClr val="4DBB5F"/>
          </a:solidFill>
          <a:ln w="12700">
            <a:solidFill>
              <a:schemeClr val="bg1">
                <a:lumMod val="85000"/>
                <a:alpha val="30000"/>
              </a:schemeClr>
            </a:solidFill>
          </a:ln>
          <a:effectLst/>
        </c:spPr>
        <c:dLbl>
          <c:idx val="0"/>
          <c:layout>
            <c:manualLayout>
              <c:x val="-0.1487016456803659"/>
              <c:y val="8.990084572761737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2"/>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4"/>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35"/>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6"/>
        <c:spPr>
          <a:solidFill>
            <a:srgbClr val="4DBB5F"/>
          </a:solidFill>
          <a:ln w="12700">
            <a:solidFill>
              <a:schemeClr val="bg1">
                <a:lumMod val="85000"/>
                <a:alpha val="30000"/>
              </a:schemeClr>
            </a:solidFill>
          </a:ln>
          <a:effectLst/>
        </c:spPr>
        <c:dLbl>
          <c:idx val="0"/>
          <c:layout>
            <c:manualLayout>
              <c:x val="-0.1487016456803659"/>
              <c:y val="8.990084572761737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7"/>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9"/>
        <c:spPr>
          <a:solidFill>
            <a:schemeClr val="accent2">
              <a:lumMod val="75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40"/>
        <c:spPr>
          <a:solidFill>
            <a:srgbClr val="DA6300"/>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1"/>
        <c:spPr>
          <a:solidFill>
            <a:srgbClr val="EC8552"/>
          </a:solidFill>
          <a:ln w="12700">
            <a:solidFill>
              <a:schemeClr val="bg1">
                <a:lumMod val="85000"/>
                <a:alpha val="30000"/>
              </a:schemeClr>
            </a:solidFill>
          </a:ln>
          <a:effectLst/>
        </c:spPr>
        <c:dLbl>
          <c:idx val="0"/>
          <c:layout>
            <c:manualLayout>
              <c:x val="-0.1487016456803659"/>
              <c:y val="8.990084572761737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2"/>
        <c:spPr>
          <a:solidFill>
            <a:schemeClr val="accent2">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10859870392307157"/>
          <c:y val="0.12456108255929087"/>
          <c:w val="0.68293847118667683"/>
          <c:h val="0.73937290772785125"/>
        </c:manualLayout>
      </c:layout>
      <c:doughnutChart>
        <c:varyColors val="1"/>
        <c:ser>
          <c:idx val="0"/>
          <c:order val="0"/>
          <c:tx>
            <c:strRef>
              <c:f>electricity_analysis!$B$8</c:f>
              <c:strCache>
                <c:ptCount val="1"/>
                <c:pt idx="0">
                  <c:v>Total</c:v>
                </c:pt>
              </c:strCache>
            </c:strRef>
          </c:tx>
          <c:spPr>
            <a:ln w="12700">
              <a:solidFill>
                <a:schemeClr val="bg1">
                  <a:lumMod val="85000"/>
                  <a:alpha val="30000"/>
                </a:schemeClr>
              </a:solidFill>
            </a:ln>
          </c:spPr>
          <c:dPt>
            <c:idx val="0"/>
            <c:bubble3D val="0"/>
            <c:spPr>
              <a:solidFill>
                <a:schemeClr val="accent2">
                  <a:lumMod val="75000"/>
                </a:schemeClr>
              </a:solidFill>
              <a:ln w="12700">
                <a:solidFill>
                  <a:schemeClr val="bg1">
                    <a:lumMod val="85000"/>
                    <a:alpha val="30000"/>
                  </a:schemeClr>
                </a:solidFill>
              </a:ln>
              <a:effectLst/>
            </c:spPr>
            <c:extLst>
              <c:ext xmlns:c16="http://schemas.microsoft.com/office/drawing/2014/chart" uri="{C3380CC4-5D6E-409C-BE32-E72D297353CC}">
                <c16:uniqueId val="{0000000B-7507-41E0-BA45-214EA5D78896}"/>
              </c:ext>
            </c:extLst>
          </c:dPt>
          <c:dPt>
            <c:idx val="1"/>
            <c:bubble3D val="0"/>
            <c:spPr>
              <a:solidFill>
                <a:srgbClr val="DA6300"/>
              </a:solidFill>
              <a:ln w="12700">
                <a:solidFill>
                  <a:schemeClr val="bg1">
                    <a:lumMod val="85000"/>
                    <a:alpha val="30000"/>
                  </a:schemeClr>
                </a:solidFill>
              </a:ln>
              <a:effectLst/>
            </c:spPr>
            <c:extLst>
              <c:ext xmlns:c16="http://schemas.microsoft.com/office/drawing/2014/chart" uri="{C3380CC4-5D6E-409C-BE32-E72D297353CC}">
                <c16:uniqueId val="{0000000D-7507-41E0-BA45-214EA5D78896}"/>
              </c:ext>
            </c:extLst>
          </c:dPt>
          <c:dPt>
            <c:idx val="2"/>
            <c:bubble3D val="0"/>
            <c:spPr>
              <a:solidFill>
                <a:srgbClr val="EC8552"/>
              </a:solidFill>
              <a:ln w="12700">
                <a:solidFill>
                  <a:schemeClr val="bg1">
                    <a:lumMod val="85000"/>
                    <a:alpha val="30000"/>
                  </a:schemeClr>
                </a:solidFill>
              </a:ln>
              <a:effectLst/>
            </c:spPr>
            <c:extLst>
              <c:ext xmlns:c16="http://schemas.microsoft.com/office/drawing/2014/chart" uri="{C3380CC4-5D6E-409C-BE32-E72D297353CC}">
                <c16:uniqueId val="{0000000F-7507-41E0-BA45-214EA5D78896}"/>
              </c:ext>
            </c:extLst>
          </c:dPt>
          <c:dPt>
            <c:idx val="3"/>
            <c:bubble3D val="0"/>
            <c:spPr>
              <a:solidFill>
                <a:schemeClr val="accent2">
                  <a:lumMod val="20000"/>
                  <a:lumOff val="80000"/>
                </a:schemeClr>
              </a:solidFill>
              <a:ln w="12700">
                <a:solidFill>
                  <a:schemeClr val="bg1">
                    <a:lumMod val="85000"/>
                    <a:alpha val="30000"/>
                  </a:schemeClr>
                </a:solidFill>
              </a:ln>
            </c:spPr>
            <c:extLst>
              <c:ext xmlns:c16="http://schemas.microsoft.com/office/drawing/2014/chart" uri="{C3380CC4-5D6E-409C-BE32-E72D297353CC}">
                <c16:uniqueId val="{00000010-7507-41E0-BA45-214EA5D78896}"/>
              </c:ext>
            </c:extLst>
          </c:dPt>
          <c:dLbls>
            <c:dLbl>
              <c:idx val="0"/>
              <c:layout>
                <c:manualLayout>
                  <c:x val="0.17182423753559467"/>
                  <c:y val="-0.1006650300177995"/>
                </c:manualLayout>
              </c:layout>
              <c:showLegendKey val="0"/>
              <c:showVal val="0"/>
              <c:showCatName val="1"/>
              <c:showSerName val="0"/>
              <c:showPercent val="1"/>
              <c:showBubbleSize val="0"/>
              <c:extLst>
                <c:ext xmlns:c15="http://schemas.microsoft.com/office/drawing/2012/chart" uri="{CE6537A1-D6FC-4f65-9D91-7224C49458BB}">
                  <c15:layout>
                    <c:manualLayout>
                      <c:w val="0.16316640754300615"/>
                      <c:h val="0.14852249072314233"/>
                    </c:manualLayout>
                  </c15:layout>
                </c:ext>
                <c:ext xmlns:c16="http://schemas.microsoft.com/office/drawing/2014/chart" uri="{C3380CC4-5D6E-409C-BE32-E72D297353CC}">
                  <c16:uniqueId val="{0000000B-7507-41E0-BA45-214EA5D78896}"/>
                </c:ext>
              </c:extLst>
            </c:dLbl>
            <c:dLbl>
              <c:idx val="1"/>
              <c:layout>
                <c:manualLayout>
                  <c:x val="0.12389380530973451"/>
                  <c:y val="5.14909708142769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507-41E0-BA45-214EA5D78896}"/>
                </c:ext>
              </c:extLst>
            </c:dLbl>
            <c:dLbl>
              <c:idx val="2"/>
              <c:layout>
                <c:manualLayout>
                  <c:x val="-0.1487016456803659"/>
                  <c:y val="8.99008457276173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07-41E0-BA45-214EA5D78896}"/>
                </c:ext>
              </c:extLst>
            </c:dLbl>
            <c:dLbl>
              <c:idx val="3"/>
              <c:layout>
                <c:manualLayout>
                  <c:x val="-0.11500353857041758"/>
                  <c:y val="-9.0996168582375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07-41E0-BA45-214EA5D78896}"/>
                </c:ext>
              </c:extLst>
            </c:dLbl>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rnd">
                  <a:solidFill>
                    <a:schemeClr val="tx1">
                      <a:lumMod val="65000"/>
                      <a:lumOff val="35000"/>
                    </a:schemeClr>
                  </a:solidFill>
                  <a:headEnd type="oval" w="sm" len="sm"/>
                </a:ln>
              </c:spPr>
            </c:leaderLines>
            <c:extLst>
              <c:ext xmlns:c15="http://schemas.microsoft.com/office/drawing/2012/chart" uri="{CE6537A1-D6FC-4f65-9D91-7224C49458BB}">
                <c15:spPr xmlns:c15="http://schemas.microsoft.com/office/drawing/2012/chart">
                  <a:prstGeom prst="wedgeRectCallout">
                    <a:avLst/>
                  </a:prstGeom>
                </c15:spPr>
              </c:ext>
            </c:extLst>
          </c:dLbls>
          <c:cat>
            <c:strRef>
              <c:f>electricity_analysis!$A$9:$A$12</c:f>
              <c:strCache>
                <c:ptCount val="4"/>
                <c:pt idx="0">
                  <c:v>2016</c:v>
                </c:pt>
                <c:pt idx="1">
                  <c:v>2017</c:v>
                </c:pt>
                <c:pt idx="2">
                  <c:v>2018</c:v>
                </c:pt>
                <c:pt idx="3">
                  <c:v>2019</c:v>
                </c:pt>
              </c:strCache>
            </c:strRef>
          </c:cat>
          <c:val>
            <c:numRef>
              <c:f>electricity_analysis!$B$9:$B$12</c:f>
              <c:numCache>
                <c:formatCode>General</c:formatCode>
                <c:ptCount val="4"/>
                <c:pt idx="0">
                  <c:v>4934000</c:v>
                </c:pt>
                <c:pt idx="1">
                  <c:v>5243790</c:v>
                </c:pt>
                <c:pt idx="2">
                  <c:v>5603950</c:v>
                </c:pt>
                <c:pt idx="3">
                  <c:v>5885238</c:v>
                </c:pt>
              </c:numCache>
            </c:numRef>
          </c:val>
          <c:extLst>
            <c:ext xmlns:c16="http://schemas.microsoft.com/office/drawing/2014/chart" uri="{C3380CC4-5D6E-409C-BE32-E72D297353CC}">
              <c16:uniqueId val="{00000011-7507-41E0-BA45-214EA5D78896}"/>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Dashboard.xlsx]electricity_analysis!year cost</c:name>
    <c:fmtId val="12"/>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noFill/>
          </a:ln>
          <a:effectLst/>
        </c:spPr>
      </c:pivotFmt>
      <c:pivotFmt>
        <c:idx val="19"/>
        <c:spPr>
          <a:solidFill>
            <a:schemeClr val="accent2"/>
          </a:solidFill>
          <a:ln w="19050">
            <a:noFill/>
          </a:ln>
          <a:effectLst/>
        </c:spPr>
      </c:pivotFmt>
      <c:pivotFmt>
        <c:idx val="20"/>
        <c:spPr>
          <a:solidFill>
            <a:schemeClr val="accent3"/>
          </a:solidFill>
          <a:ln w="19050">
            <a:noFill/>
          </a:ln>
          <a:effectLst/>
        </c:spPr>
      </c:pivotFmt>
      <c:pivotFmt>
        <c:idx val="21"/>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pivotFmt>
      <c:pivotFmt>
        <c:idx val="23"/>
        <c:spPr>
          <a:solidFill>
            <a:schemeClr val="accent2"/>
          </a:solidFill>
          <a:ln w="19050">
            <a:noFill/>
          </a:ln>
          <a:effectLst/>
        </c:spPr>
      </c:pivotFmt>
      <c:pivotFmt>
        <c:idx val="24"/>
        <c:spPr>
          <a:solidFill>
            <a:schemeClr val="accent3"/>
          </a:solidFill>
          <a:ln w="19050">
            <a:noFill/>
          </a:ln>
          <a:effectLst/>
        </c:spPr>
      </c:pivotFmt>
      <c:pivotFmt>
        <c:idx val="2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solidFill>
            <a:schemeClr val="accent3"/>
          </a:solidFill>
          <a:ln w="19050">
            <a:noFill/>
          </a:ln>
          <a:effectLst/>
        </c:spPr>
      </c:pivotFmt>
      <c:pivotFmt>
        <c:idx val="29"/>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noFill/>
          </a:ln>
          <a:effectLst/>
        </c:spPr>
      </c:pivotFmt>
      <c:pivotFmt>
        <c:idx val="35"/>
        <c:spPr>
          <a:solidFill>
            <a:schemeClr val="accent2"/>
          </a:solidFill>
          <a:ln w="19050">
            <a:noFill/>
          </a:ln>
          <a:effectLst/>
        </c:spPr>
      </c:pivotFmt>
      <c:pivotFmt>
        <c:idx val="36"/>
        <c:spPr>
          <a:solidFill>
            <a:schemeClr val="accent3"/>
          </a:solidFill>
          <a:ln w="19050">
            <a:noFill/>
          </a:ln>
          <a:effectLst/>
        </c:spPr>
      </c:pivotFmt>
      <c:pivotFmt>
        <c:idx val="3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chemeClr val="accent3"/>
          </a:solidFill>
          <a:ln w="19050">
            <a:noFill/>
          </a:ln>
          <a:effectLst/>
        </c:spPr>
      </c:pivotFmt>
      <c:pivotFmt>
        <c:idx val="4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5"/>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6"/>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7"/>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9"/>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0"/>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2"/>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3"/>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6"/>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7"/>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8"/>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0"/>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71"/>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2"/>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7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6"/>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1"/>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6"/>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1"/>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6"/>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9"/>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00"/>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1"/>
        <c:spPr>
          <a:solidFill>
            <a:srgbClr val="4DBB5F"/>
          </a:solidFill>
          <a:ln w="12700">
            <a:solidFill>
              <a:schemeClr val="bg1">
                <a:lumMod val="85000"/>
                <a:alpha val="30000"/>
              </a:schemeClr>
            </a:solidFill>
          </a:ln>
          <a:effectLst/>
        </c:spPr>
        <c:dLbl>
          <c:idx val="0"/>
          <c:layout>
            <c:manualLayout>
              <c:x val="-0.22857144847339941"/>
              <c:y val="4.583974416990979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2"/>
        <c:spPr>
          <a:solidFill>
            <a:schemeClr val="accent3">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4"/>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05"/>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6"/>
        <c:spPr>
          <a:solidFill>
            <a:srgbClr val="4DBB5F"/>
          </a:solidFill>
          <a:ln w="12700">
            <a:solidFill>
              <a:schemeClr val="bg1">
                <a:lumMod val="85000"/>
                <a:alpha val="30000"/>
              </a:schemeClr>
            </a:solidFill>
          </a:ln>
          <a:effectLst/>
        </c:spPr>
        <c:dLbl>
          <c:idx val="0"/>
          <c:layout>
            <c:manualLayout>
              <c:x val="-0.22857144847339941"/>
              <c:y val="4.583974416990979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7"/>
        <c:spPr>
          <a:solidFill>
            <a:schemeClr val="accent3">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9"/>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10"/>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1"/>
        <c:spPr>
          <a:solidFill>
            <a:srgbClr val="4DBB5F"/>
          </a:solidFill>
          <a:ln w="12700">
            <a:solidFill>
              <a:schemeClr val="bg1">
                <a:lumMod val="85000"/>
                <a:alpha val="30000"/>
              </a:schemeClr>
            </a:solidFill>
          </a:ln>
          <a:effectLst/>
        </c:spPr>
        <c:dLbl>
          <c:idx val="0"/>
          <c:layout>
            <c:manualLayout>
              <c:x val="-0.22857144847339941"/>
              <c:y val="4.583974416990979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2"/>
        <c:spPr>
          <a:solidFill>
            <a:schemeClr val="accent3">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4"/>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15"/>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6"/>
        <c:spPr>
          <a:solidFill>
            <a:srgbClr val="4DBB5F"/>
          </a:solidFill>
          <a:ln w="12700">
            <a:solidFill>
              <a:schemeClr val="bg1">
                <a:lumMod val="85000"/>
                <a:alpha val="30000"/>
              </a:schemeClr>
            </a:solidFill>
          </a:ln>
          <a:effectLst/>
        </c:spPr>
        <c:dLbl>
          <c:idx val="0"/>
          <c:layout>
            <c:manualLayout>
              <c:x val="-0.22857144847339941"/>
              <c:y val="4.583974416990979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7"/>
        <c:spPr>
          <a:solidFill>
            <a:schemeClr val="accent3">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9"/>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20"/>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1"/>
        <c:spPr>
          <a:solidFill>
            <a:srgbClr val="4DBB5F"/>
          </a:solidFill>
          <a:ln w="12700">
            <a:solidFill>
              <a:schemeClr val="bg1">
                <a:lumMod val="85000"/>
                <a:alpha val="30000"/>
              </a:schemeClr>
            </a:solidFill>
          </a:ln>
          <a:effectLst/>
        </c:spPr>
        <c:dLbl>
          <c:idx val="0"/>
          <c:layout>
            <c:manualLayout>
              <c:x val="-0.22857144847339941"/>
              <c:y val="4.583974416990979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2"/>
        <c:spPr>
          <a:solidFill>
            <a:schemeClr val="accent3">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4"/>
        <c:spPr>
          <a:solidFill>
            <a:schemeClr val="accent2">
              <a:lumMod val="75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25"/>
        <c:spPr>
          <a:solidFill>
            <a:srgbClr val="DA6300"/>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6"/>
        <c:spPr>
          <a:solidFill>
            <a:srgbClr val="EC8552"/>
          </a:solidFill>
          <a:ln w="12700">
            <a:solidFill>
              <a:schemeClr val="bg1">
                <a:lumMod val="85000"/>
                <a:alpha val="30000"/>
              </a:schemeClr>
            </a:solidFill>
          </a:ln>
          <a:effectLst/>
        </c:spPr>
        <c:dLbl>
          <c:idx val="0"/>
          <c:layout>
            <c:manualLayout>
              <c:x val="-0.22857144847339941"/>
              <c:y val="4.583974416990979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7"/>
        <c:spPr>
          <a:solidFill>
            <a:schemeClr val="accent2">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10859870392307157"/>
          <c:y val="0.12456108255929087"/>
          <c:w val="0.68293847118667683"/>
          <c:h val="0.73937290772785125"/>
        </c:manualLayout>
      </c:layout>
      <c:doughnutChart>
        <c:varyColors val="1"/>
        <c:ser>
          <c:idx val="0"/>
          <c:order val="0"/>
          <c:tx>
            <c:strRef>
              <c:f>electricity_analysis!$E$8</c:f>
              <c:strCache>
                <c:ptCount val="1"/>
                <c:pt idx="0">
                  <c:v>Total</c:v>
                </c:pt>
              </c:strCache>
            </c:strRef>
          </c:tx>
          <c:spPr>
            <a:ln w="12700">
              <a:solidFill>
                <a:schemeClr val="bg1">
                  <a:lumMod val="85000"/>
                  <a:alpha val="30000"/>
                </a:schemeClr>
              </a:solidFill>
            </a:ln>
          </c:spPr>
          <c:dPt>
            <c:idx val="0"/>
            <c:bubble3D val="0"/>
            <c:spPr>
              <a:solidFill>
                <a:schemeClr val="accent2">
                  <a:lumMod val="75000"/>
                </a:schemeClr>
              </a:solidFill>
              <a:ln w="12700">
                <a:solidFill>
                  <a:schemeClr val="bg1">
                    <a:lumMod val="85000"/>
                    <a:alpha val="30000"/>
                  </a:schemeClr>
                </a:solidFill>
              </a:ln>
              <a:effectLst/>
            </c:spPr>
            <c:extLst>
              <c:ext xmlns:c16="http://schemas.microsoft.com/office/drawing/2014/chart" uri="{C3380CC4-5D6E-409C-BE32-E72D297353CC}">
                <c16:uniqueId val="{0000000B-BC3D-4451-90E6-FC5FFE66FE8A}"/>
              </c:ext>
            </c:extLst>
          </c:dPt>
          <c:dPt>
            <c:idx val="1"/>
            <c:bubble3D val="0"/>
            <c:spPr>
              <a:solidFill>
                <a:srgbClr val="DA6300"/>
              </a:solidFill>
              <a:ln w="12700">
                <a:solidFill>
                  <a:schemeClr val="bg1">
                    <a:lumMod val="85000"/>
                    <a:alpha val="30000"/>
                  </a:schemeClr>
                </a:solidFill>
              </a:ln>
              <a:effectLst/>
            </c:spPr>
            <c:extLst>
              <c:ext xmlns:c16="http://schemas.microsoft.com/office/drawing/2014/chart" uri="{C3380CC4-5D6E-409C-BE32-E72D297353CC}">
                <c16:uniqueId val="{0000000D-BC3D-4451-90E6-FC5FFE66FE8A}"/>
              </c:ext>
            </c:extLst>
          </c:dPt>
          <c:dPt>
            <c:idx val="2"/>
            <c:bubble3D val="0"/>
            <c:spPr>
              <a:solidFill>
                <a:srgbClr val="EC8552"/>
              </a:solidFill>
              <a:ln w="12700">
                <a:solidFill>
                  <a:schemeClr val="bg1">
                    <a:lumMod val="85000"/>
                    <a:alpha val="30000"/>
                  </a:schemeClr>
                </a:solidFill>
              </a:ln>
              <a:effectLst/>
            </c:spPr>
            <c:extLst>
              <c:ext xmlns:c16="http://schemas.microsoft.com/office/drawing/2014/chart" uri="{C3380CC4-5D6E-409C-BE32-E72D297353CC}">
                <c16:uniqueId val="{0000000F-BC3D-4451-90E6-FC5FFE66FE8A}"/>
              </c:ext>
            </c:extLst>
          </c:dPt>
          <c:dPt>
            <c:idx val="3"/>
            <c:bubble3D val="0"/>
            <c:spPr>
              <a:solidFill>
                <a:schemeClr val="accent2">
                  <a:lumMod val="20000"/>
                  <a:lumOff val="80000"/>
                </a:schemeClr>
              </a:solidFill>
              <a:ln w="12700">
                <a:solidFill>
                  <a:schemeClr val="bg1">
                    <a:lumMod val="85000"/>
                    <a:alpha val="30000"/>
                  </a:schemeClr>
                </a:solidFill>
              </a:ln>
            </c:spPr>
            <c:extLst>
              <c:ext xmlns:c16="http://schemas.microsoft.com/office/drawing/2014/chart" uri="{C3380CC4-5D6E-409C-BE32-E72D297353CC}">
                <c16:uniqueId val="{00000011-BC3D-4451-90E6-FC5FFE66FE8A}"/>
              </c:ext>
            </c:extLst>
          </c:dPt>
          <c:dLbls>
            <c:dLbl>
              <c:idx val="0"/>
              <c:layout>
                <c:manualLayout>
                  <c:x val="0.17182423753559467"/>
                  <c:y val="-0.1006650300177995"/>
                </c:manualLayout>
              </c:layout>
              <c:showLegendKey val="0"/>
              <c:showVal val="0"/>
              <c:showCatName val="1"/>
              <c:showSerName val="0"/>
              <c:showPercent val="1"/>
              <c:showBubbleSize val="0"/>
              <c:extLst>
                <c:ext xmlns:c15="http://schemas.microsoft.com/office/drawing/2012/chart" uri="{CE6537A1-D6FC-4f65-9D91-7224C49458BB}">
                  <c15:layout>
                    <c:manualLayout>
                      <c:w val="0.16316640754300615"/>
                      <c:h val="0.14852249072314233"/>
                    </c:manualLayout>
                  </c15:layout>
                </c:ext>
                <c:ext xmlns:c16="http://schemas.microsoft.com/office/drawing/2014/chart" uri="{C3380CC4-5D6E-409C-BE32-E72D297353CC}">
                  <c16:uniqueId val="{0000000B-BC3D-4451-90E6-FC5FFE66FE8A}"/>
                </c:ext>
              </c:extLst>
            </c:dLbl>
            <c:dLbl>
              <c:idx val="1"/>
              <c:layout>
                <c:manualLayout>
                  <c:x val="0.12389380530973451"/>
                  <c:y val="5.14909708142769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BC3D-4451-90E6-FC5FFE66FE8A}"/>
                </c:ext>
              </c:extLst>
            </c:dLbl>
            <c:dLbl>
              <c:idx val="2"/>
              <c:layout>
                <c:manualLayout>
                  <c:x val="-0.22857144847339941"/>
                  <c:y val="4.58397441699097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C3D-4451-90E6-FC5FFE66FE8A}"/>
                </c:ext>
              </c:extLst>
            </c:dLbl>
            <c:dLbl>
              <c:idx val="3"/>
              <c:layout>
                <c:manualLayout>
                  <c:x val="-0.11500353857041758"/>
                  <c:y val="-9.0996168582375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BC3D-4451-90E6-FC5FFE66FE8A}"/>
                </c:ext>
              </c:extLst>
            </c:dLbl>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rnd">
                  <a:solidFill>
                    <a:schemeClr val="tx1">
                      <a:lumMod val="65000"/>
                      <a:lumOff val="35000"/>
                    </a:schemeClr>
                  </a:solidFill>
                  <a:headEnd type="oval" w="sm" len="sm"/>
                </a:ln>
              </c:spPr>
            </c:leaderLines>
            <c:extLst>
              <c:ext xmlns:c15="http://schemas.microsoft.com/office/drawing/2012/chart" uri="{CE6537A1-D6FC-4f65-9D91-7224C49458BB}">
                <c15:spPr xmlns:c15="http://schemas.microsoft.com/office/drawing/2012/chart">
                  <a:prstGeom prst="wedgeRectCallout">
                    <a:avLst/>
                  </a:prstGeom>
                </c15:spPr>
              </c:ext>
            </c:extLst>
          </c:dLbls>
          <c:cat>
            <c:strRef>
              <c:f>electricity_analysis!$D$9:$D$12</c:f>
              <c:strCache>
                <c:ptCount val="4"/>
                <c:pt idx="0">
                  <c:v>2016</c:v>
                </c:pt>
                <c:pt idx="1">
                  <c:v>2017</c:v>
                </c:pt>
                <c:pt idx="2">
                  <c:v>2018</c:v>
                </c:pt>
                <c:pt idx="3">
                  <c:v>2019</c:v>
                </c:pt>
              </c:strCache>
            </c:strRef>
          </c:cat>
          <c:val>
            <c:numRef>
              <c:f>electricity_analysis!$E$9:$E$12</c:f>
              <c:numCache>
                <c:formatCode>\$#,##0.00;\(\$#,##0.00\);\$#,##0.00</c:formatCode>
                <c:ptCount val="4"/>
                <c:pt idx="0">
                  <c:v>394720</c:v>
                </c:pt>
                <c:pt idx="1">
                  <c:v>461453.52</c:v>
                </c:pt>
                <c:pt idx="2">
                  <c:v>542462.36</c:v>
                </c:pt>
                <c:pt idx="3">
                  <c:v>626660.14190000005</c:v>
                </c:pt>
              </c:numCache>
            </c:numRef>
          </c:val>
          <c:extLst>
            <c:ext xmlns:c16="http://schemas.microsoft.com/office/drawing/2014/chart" uri="{C3380CC4-5D6E-409C-BE32-E72D297353CC}">
              <c16:uniqueId val="{00000012-BC3D-4451-90E6-FC5FFE66FE8A}"/>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Dashboard.xlsx]electricity_analysis!PivotTable23</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Building</a:t>
            </a:r>
            <a:r>
              <a:rPr lang="en-US" baseline="0">
                <a:solidFill>
                  <a:schemeClr val="tx1"/>
                </a:solidFill>
              </a:rPr>
              <a:t> Load Rank</a:t>
            </a:r>
            <a:endParaRPr lang="en-US">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lumMod val="85000"/>
              <a:lumOff val="15000"/>
            </a:schemeClr>
          </a:solidFill>
          <a:ln w="12700">
            <a:noFill/>
          </a:ln>
          <a:effectLst/>
        </c:spPr>
        <c:marker>
          <c:symbol val="none"/>
        </c:marker>
        <c:dLbl>
          <c:idx val="0"/>
          <c:numFmt formatCode="[&gt;=1000000]0.00,,&quot; MWh&quot;;[&gt;=1000]0.00,&quot; kWh&quot;;0&quot; Wh&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electricity_analysis!$B$17</c:f>
              <c:strCache>
                <c:ptCount val="1"/>
                <c:pt idx="0">
                  <c:v>Total</c:v>
                </c:pt>
              </c:strCache>
            </c:strRef>
          </c:tx>
          <c:spPr>
            <a:solidFill>
              <a:schemeClr val="tx1">
                <a:lumMod val="85000"/>
                <a:lumOff val="15000"/>
              </a:schemeClr>
            </a:solidFill>
            <a:ln w="12700">
              <a:noFill/>
            </a:ln>
            <a:effectLst/>
          </c:spPr>
          <c:invertIfNegative val="0"/>
          <c:dLbls>
            <c:numFmt formatCode="[&gt;=1000000]0.00,,&quot; MWh&quot;;[&gt;=1000]0.00,&quot; kWh&quot;;0&quot; Wh&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electricity_analysis!$A$18:$A$22</c:f>
              <c:strCache>
                <c:ptCount val="5"/>
                <c:pt idx="0">
                  <c:v>B1007</c:v>
                </c:pt>
                <c:pt idx="1">
                  <c:v>B1010</c:v>
                </c:pt>
                <c:pt idx="2">
                  <c:v>B1006</c:v>
                </c:pt>
                <c:pt idx="3">
                  <c:v>B1003</c:v>
                </c:pt>
                <c:pt idx="4">
                  <c:v>B1009</c:v>
                </c:pt>
              </c:strCache>
            </c:strRef>
          </c:cat>
          <c:val>
            <c:numRef>
              <c:f>electricity_analysis!$B$18:$B$22</c:f>
              <c:numCache>
                <c:formatCode>General</c:formatCode>
                <c:ptCount val="5"/>
                <c:pt idx="0">
                  <c:v>1984173</c:v>
                </c:pt>
                <c:pt idx="1">
                  <c:v>1996596</c:v>
                </c:pt>
                <c:pt idx="2">
                  <c:v>2007260</c:v>
                </c:pt>
                <c:pt idx="3">
                  <c:v>2013899</c:v>
                </c:pt>
                <c:pt idx="4">
                  <c:v>2018804</c:v>
                </c:pt>
              </c:numCache>
            </c:numRef>
          </c:val>
          <c:extLst>
            <c:ext xmlns:c16="http://schemas.microsoft.com/office/drawing/2014/chart" uri="{C3380CC4-5D6E-409C-BE32-E72D297353CC}">
              <c16:uniqueId val="{00000000-66D2-4D95-B581-45A475619A40}"/>
            </c:ext>
          </c:extLst>
        </c:ser>
        <c:dLbls>
          <c:dLblPos val="outEnd"/>
          <c:showLegendKey val="0"/>
          <c:showVal val="1"/>
          <c:showCatName val="0"/>
          <c:showSerName val="0"/>
          <c:showPercent val="0"/>
          <c:showBubbleSize val="0"/>
        </c:dLbls>
        <c:gapWidth val="23"/>
        <c:axId val="1557341199"/>
        <c:axId val="1557361839"/>
      </c:barChart>
      <c:catAx>
        <c:axId val="15573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7361839"/>
        <c:crosses val="autoZero"/>
        <c:auto val="1"/>
        <c:lblAlgn val="ctr"/>
        <c:lblOffset val="100"/>
        <c:noMultiLvlLbl val="0"/>
      </c:catAx>
      <c:valAx>
        <c:axId val="1557361839"/>
        <c:scaling>
          <c:orientation val="minMax"/>
        </c:scaling>
        <c:delete val="1"/>
        <c:axPos val="b"/>
        <c:numFmt formatCode="General" sourceLinked="1"/>
        <c:majorTickMark val="none"/>
        <c:minorTickMark val="none"/>
        <c:tickLblPos val="nextTo"/>
        <c:crossAx val="1557341199"/>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Dashboard.xlsx]electricity_analysis!PivotTable24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Building Financial</a:t>
            </a:r>
            <a:r>
              <a:rPr lang="en-US" baseline="0">
                <a:solidFill>
                  <a:schemeClr val="bg1"/>
                </a:solidFill>
              </a:rPr>
              <a:t> Impact</a:t>
            </a:r>
            <a:endParaRPr lang="en-US">
              <a:solidFill>
                <a:schemeClr val="bg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9DE0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D9DE0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D9DE0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D9DE0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9DE0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D9DE00"/>
          </a:solidFill>
          <a:ln w="12700">
            <a:noFill/>
          </a:ln>
          <a:effectLst/>
        </c:spPr>
        <c:marker>
          <c:symbol val="none"/>
        </c:marker>
        <c:dLbl>
          <c:idx val="0"/>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electricity_analysis!$E$17</c:f>
              <c:strCache>
                <c:ptCount val="1"/>
                <c:pt idx="0">
                  <c:v>Total</c:v>
                </c:pt>
              </c:strCache>
            </c:strRef>
          </c:tx>
          <c:spPr>
            <a:solidFill>
              <a:srgbClr val="D9DE00"/>
            </a:solidFill>
            <a:ln w="12700">
              <a:noFill/>
            </a:ln>
            <a:effectLst/>
          </c:spPr>
          <c:invertIfNegative val="0"/>
          <c:dLbls>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electricity_analysis!$D$18:$D$22</c:f>
              <c:strCache>
                <c:ptCount val="5"/>
                <c:pt idx="0">
                  <c:v>B1007</c:v>
                </c:pt>
                <c:pt idx="1">
                  <c:v>B1010</c:v>
                </c:pt>
                <c:pt idx="2">
                  <c:v>B1006</c:v>
                </c:pt>
                <c:pt idx="3">
                  <c:v>B1003</c:v>
                </c:pt>
                <c:pt idx="4">
                  <c:v>B1009</c:v>
                </c:pt>
              </c:strCache>
            </c:strRef>
          </c:cat>
          <c:val>
            <c:numRef>
              <c:f>electricity_analysis!$E$18:$E$22</c:f>
              <c:numCache>
                <c:formatCode>\$#,##0.00;\(\$#,##0.00\);\$#,##0.00</c:formatCode>
                <c:ptCount val="5"/>
                <c:pt idx="0">
                  <c:v>185049.6434</c:v>
                </c:pt>
                <c:pt idx="1">
                  <c:v>186664.08379999999</c:v>
                </c:pt>
                <c:pt idx="2">
                  <c:v>187684.18700000001</c:v>
                </c:pt>
                <c:pt idx="3">
                  <c:v>188163.31599999999</c:v>
                </c:pt>
                <c:pt idx="4">
                  <c:v>189077.4963</c:v>
                </c:pt>
              </c:numCache>
            </c:numRef>
          </c:val>
          <c:extLst>
            <c:ext xmlns:c16="http://schemas.microsoft.com/office/drawing/2014/chart" uri="{C3380CC4-5D6E-409C-BE32-E72D297353CC}">
              <c16:uniqueId val="{00000000-22F9-4A8F-B04E-D02E317540C7}"/>
            </c:ext>
          </c:extLst>
        </c:ser>
        <c:dLbls>
          <c:dLblPos val="outEnd"/>
          <c:showLegendKey val="0"/>
          <c:showVal val="1"/>
          <c:showCatName val="0"/>
          <c:showSerName val="0"/>
          <c:showPercent val="0"/>
          <c:showBubbleSize val="0"/>
        </c:dLbls>
        <c:gapWidth val="23"/>
        <c:axId val="1557341199"/>
        <c:axId val="1557361839"/>
      </c:barChart>
      <c:catAx>
        <c:axId val="15573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7361839"/>
        <c:crosses val="autoZero"/>
        <c:auto val="1"/>
        <c:lblAlgn val="ctr"/>
        <c:lblOffset val="100"/>
        <c:noMultiLvlLbl val="0"/>
      </c:catAx>
      <c:valAx>
        <c:axId val="1557361839"/>
        <c:scaling>
          <c:orientation val="minMax"/>
        </c:scaling>
        <c:delete val="1"/>
        <c:axPos val="b"/>
        <c:numFmt formatCode="\$#,##0.00;\(\$#,##0.00\);\$#,##0.00" sourceLinked="1"/>
        <c:majorTickMark val="none"/>
        <c:minorTickMark val="none"/>
        <c:tickLblPos val="nextTo"/>
        <c:crossAx val="1557341199"/>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Dashboard.xlsx]electricity_analysis!PivotTable25</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Regional Power Intake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lumMod val="85000"/>
              <a:lumOff val="15000"/>
            </a:schemeClr>
          </a:solidFill>
          <a:ln>
            <a:noFill/>
          </a:ln>
          <a:effectLst/>
        </c:spPr>
        <c:marker>
          <c:symbol val="none"/>
        </c:marker>
        <c:dLbl>
          <c:idx val="0"/>
          <c:numFmt formatCode="[&gt;=1000000]0.0,,&quot; MWh&quot;;[&gt;=1000]0.0,&quot; kWh&quot;;0&quot; Wh&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electricity_analysis!$B$27</c:f>
              <c:strCache>
                <c:ptCount val="1"/>
                <c:pt idx="0">
                  <c:v>Total</c:v>
                </c:pt>
              </c:strCache>
            </c:strRef>
          </c:tx>
          <c:spPr>
            <a:solidFill>
              <a:schemeClr val="tx1">
                <a:lumMod val="85000"/>
                <a:lumOff val="15000"/>
              </a:schemeClr>
            </a:solidFill>
            <a:ln>
              <a:noFill/>
            </a:ln>
            <a:effectLst/>
          </c:spPr>
          <c:invertIfNegative val="0"/>
          <c:dLbls>
            <c:numFmt formatCode="[&gt;=1000000]0.0,,&quot; MWh&quot;;[&gt;=1000]0.0,&quot; kWh&quot;;0&quot; Wh&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electricity_analysis!$A$28:$A$32</c:f>
              <c:strCache>
                <c:ptCount val="5"/>
                <c:pt idx="0">
                  <c:v>Los Angeles</c:v>
                </c:pt>
                <c:pt idx="1">
                  <c:v>Chicago</c:v>
                </c:pt>
                <c:pt idx="2">
                  <c:v>New York</c:v>
                </c:pt>
                <c:pt idx="3">
                  <c:v>Phoenix</c:v>
                </c:pt>
                <c:pt idx="4">
                  <c:v>Houston</c:v>
                </c:pt>
              </c:strCache>
            </c:strRef>
          </c:cat>
          <c:val>
            <c:numRef>
              <c:f>electricity_analysis!$B$28:$B$32</c:f>
              <c:numCache>
                <c:formatCode>General</c:formatCode>
                <c:ptCount val="5"/>
                <c:pt idx="0">
                  <c:v>6029299</c:v>
                </c:pt>
                <c:pt idx="1">
                  <c:v>5876333</c:v>
                </c:pt>
                <c:pt idx="2">
                  <c:v>5867499</c:v>
                </c:pt>
                <c:pt idx="3">
                  <c:v>2007260</c:v>
                </c:pt>
                <c:pt idx="4">
                  <c:v>1886587</c:v>
                </c:pt>
              </c:numCache>
            </c:numRef>
          </c:val>
          <c:extLst>
            <c:ext xmlns:c16="http://schemas.microsoft.com/office/drawing/2014/chart" uri="{C3380CC4-5D6E-409C-BE32-E72D297353CC}">
              <c16:uniqueId val="{00000000-9991-4E31-9A39-DE69E9D95D9F}"/>
            </c:ext>
          </c:extLst>
        </c:ser>
        <c:dLbls>
          <c:dLblPos val="outEnd"/>
          <c:showLegendKey val="0"/>
          <c:showVal val="1"/>
          <c:showCatName val="0"/>
          <c:showSerName val="0"/>
          <c:showPercent val="0"/>
          <c:showBubbleSize val="0"/>
        </c:dLbls>
        <c:gapWidth val="21"/>
        <c:overlap val="-27"/>
        <c:axId val="1157701071"/>
        <c:axId val="1157697231"/>
      </c:barChart>
      <c:catAx>
        <c:axId val="11577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7697231"/>
        <c:crosses val="autoZero"/>
        <c:auto val="1"/>
        <c:lblAlgn val="ctr"/>
        <c:lblOffset val="100"/>
        <c:noMultiLvlLbl val="0"/>
      </c:catAx>
      <c:valAx>
        <c:axId val="1157697231"/>
        <c:scaling>
          <c:orientation val="minMax"/>
        </c:scaling>
        <c:delete val="1"/>
        <c:axPos val="l"/>
        <c:numFmt formatCode="General" sourceLinked="1"/>
        <c:majorTickMark val="none"/>
        <c:minorTickMark val="none"/>
        <c:tickLblPos val="nextTo"/>
        <c:crossAx val="1157701071"/>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Dashboard.xlsx]electricity_analysis!PivotTable27</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Regional Revenue Impact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9DE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D9DE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D9DE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D9DE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9DE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D9DE00"/>
          </a:solidFill>
          <a:ln>
            <a:noFill/>
          </a:ln>
          <a:effectLst/>
        </c:spPr>
        <c:marker>
          <c:symbol val="none"/>
        </c:marker>
        <c:dLbl>
          <c:idx val="0"/>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electricity_analysis!$E$27</c:f>
              <c:strCache>
                <c:ptCount val="1"/>
                <c:pt idx="0">
                  <c:v>Total</c:v>
                </c:pt>
              </c:strCache>
            </c:strRef>
          </c:tx>
          <c:spPr>
            <a:solidFill>
              <a:srgbClr val="D9DE00"/>
            </a:solidFill>
            <a:ln>
              <a:noFill/>
            </a:ln>
            <a:effectLst/>
          </c:spPr>
          <c:invertIfNegative val="0"/>
          <c:dLbls>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electricity_analysis!$D$28:$D$32</c:f>
              <c:strCache>
                <c:ptCount val="5"/>
                <c:pt idx="0">
                  <c:v>Los Angeles</c:v>
                </c:pt>
                <c:pt idx="1">
                  <c:v>Chicago</c:v>
                </c:pt>
                <c:pt idx="2">
                  <c:v>New York</c:v>
                </c:pt>
                <c:pt idx="3">
                  <c:v>Phoenix</c:v>
                </c:pt>
                <c:pt idx="4">
                  <c:v>Houston</c:v>
                </c:pt>
              </c:strCache>
            </c:strRef>
          </c:cat>
          <c:val>
            <c:numRef>
              <c:f>electricity_analysis!$E$28:$E$32</c:f>
              <c:numCache>
                <c:formatCode>\$#,##0.00;\(\$#,##0.00\);\$#,##0.00</c:formatCode>
                <c:ptCount val="5"/>
                <c:pt idx="0">
                  <c:v>563904.89610000001</c:v>
                </c:pt>
                <c:pt idx="1">
                  <c:v>548734.89450000005</c:v>
                </c:pt>
                <c:pt idx="2">
                  <c:v>548486.63489999995</c:v>
                </c:pt>
                <c:pt idx="3">
                  <c:v>187684.18700000001</c:v>
                </c:pt>
                <c:pt idx="4">
                  <c:v>176485.4094</c:v>
                </c:pt>
              </c:numCache>
            </c:numRef>
          </c:val>
          <c:extLst>
            <c:ext xmlns:c16="http://schemas.microsoft.com/office/drawing/2014/chart" uri="{C3380CC4-5D6E-409C-BE32-E72D297353CC}">
              <c16:uniqueId val="{00000000-1C68-4890-8811-BB6E028F5E51}"/>
            </c:ext>
          </c:extLst>
        </c:ser>
        <c:dLbls>
          <c:dLblPos val="outEnd"/>
          <c:showLegendKey val="0"/>
          <c:showVal val="1"/>
          <c:showCatName val="0"/>
          <c:showSerName val="0"/>
          <c:showPercent val="0"/>
          <c:showBubbleSize val="0"/>
        </c:dLbls>
        <c:gapWidth val="21"/>
        <c:overlap val="-27"/>
        <c:axId val="1157701071"/>
        <c:axId val="1157697231"/>
      </c:barChart>
      <c:catAx>
        <c:axId val="11577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7697231"/>
        <c:crosses val="autoZero"/>
        <c:auto val="1"/>
        <c:lblAlgn val="ctr"/>
        <c:lblOffset val="100"/>
        <c:noMultiLvlLbl val="0"/>
      </c:catAx>
      <c:valAx>
        <c:axId val="1157697231"/>
        <c:scaling>
          <c:orientation val="minMax"/>
        </c:scaling>
        <c:delete val="1"/>
        <c:axPos val="l"/>
        <c:numFmt formatCode="\$#,##0.00;\(\$#,##0.00\);\$#,##0.00" sourceLinked="1"/>
        <c:majorTickMark val="none"/>
        <c:minorTickMark val="none"/>
        <c:tickLblPos val="nextTo"/>
        <c:crossAx val="1157701071"/>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Dashboard.xlsx]electricity_analysis!month cons</c:name>
    <c:fmtId val="10"/>
  </c:pivotSource>
  <c:chart>
    <c:title>
      <c:tx>
        <c:rich>
          <a:bodyPr/>
          <a:lstStyle/>
          <a:p>
            <a:pPr>
              <a:defRPr sz="1400" b="1">
                <a:solidFill>
                  <a:schemeClr val="tx1"/>
                </a:solidFill>
                <a:latin typeface="Aptos Narrow (Body)"/>
              </a:defRPr>
            </a:pPr>
            <a:r>
              <a:rPr lang="en-US" sz="1400" b="1">
                <a:solidFill>
                  <a:schemeClr val="tx1"/>
                </a:solidFill>
                <a:latin typeface="Aptos Narrow (Body)"/>
              </a:rPr>
              <a:t>Month</a:t>
            </a:r>
            <a:r>
              <a:rPr lang="en-US" sz="1400" b="1" baseline="0">
                <a:solidFill>
                  <a:schemeClr val="tx1"/>
                </a:solidFill>
                <a:latin typeface="Aptos Narrow (Body)"/>
              </a:rPr>
              <a:t> Load Overview</a:t>
            </a:r>
            <a:endParaRPr lang="en-US" sz="1400" b="1">
              <a:solidFill>
                <a:schemeClr val="tx1"/>
              </a:solidFill>
              <a:latin typeface="Aptos Narrow (Body)"/>
            </a:endParaRP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6"/>
      </c:pivotFmt>
      <c:pivotFmt>
        <c:idx val="17"/>
      </c:pivotFmt>
      <c:pivotFmt>
        <c:idx val="18"/>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0"/>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1"/>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2"/>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3"/>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4"/>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5"/>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6"/>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7"/>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8"/>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9"/>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0"/>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1"/>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2"/>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3"/>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4"/>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5"/>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6"/>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37"/>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38"/>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39"/>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40"/>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41"/>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electricity_analysis!$I$8</c:f>
              <c:strCache>
                <c:ptCount val="1"/>
                <c:pt idx="0">
                  <c:v>Total</c:v>
                </c:pt>
              </c:strCache>
            </c:strRef>
          </c:tx>
          <c:spPr>
            <a:ln w="28575" cap="rnd">
              <a:solidFill>
                <a:schemeClr val="accent3">
                  <a:lumMod val="50000"/>
                </a:schemeClr>
              </a:solidFill>
              <a:round/>
            </a:ln>
            <a:effectLst/>
          </c:spPr>
          <c:marker>
            <c:symbol val="circle"/>
            <c:size val="7"/>
            <c:spPr>
              <a:solidFill>
                <a:srgbClr val="FFFF00"/>
              </a:solidFill>
              <a:ln>
                <a:solidFill>
                  <a:schemeClr val="tx1"/>
                </a:solidFill>
              </a:ln>
            </c:spPr>
          </c:marker>
          <c:cat>
            <c:strRef>
              <c:f>electricity_analysis!$H$9:$H$20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electricity_analysis!$I$9:$I$20</c:f>
              <c:numCache>
                <c:formatCode>General</c:formatCode>
                <c:ptCount val="12"/>
                <c:pt idx="0">
                  <c:v>1686027</c:v>
                </c:pt>
                <c:pt idx="1">
                  <c:v>1788156</c:v>
                </c:pt>
                <c:pt idx="2">
                  <c:v>1780988</c:v>
                </c:pt>
                <c:pt idx="3">
                  <c:v>1816198</c:v>
                </c:pt>
                <c:pt idx="4">
                  <c:v>1748053</c:v>
                </c:pt>
                <c:pt idx="5">
                  <c:v>1801532</c:v>
                </c:pt>
                <c:pt idx="6">
                  <c:v>1731053</c:v>
                </c:pt>
                <c:pt idx="7">
                  <c:v>1835381</c:v>
                </c:pt>
                <c:pt idx="8">
                  <c:v>1879596</c:v>
                </c:pt>
                <c:pt idx="9">
                  <c:v>1901212</c:v>
                </c:pt>
                <c:pt idx="10">
                  <c:v>1887644</c:v>
                </c:pt>
                <c:pt idx="11">
                  <c:v>1811138</c:v>
                </c:pt>
              </c:numCache>
            </c:numRef>
          </c:val>
          <c:smooth val="1"/>
          <c:extLst>
            <c:ext xmlns:c16="http://schemas.microsoft.com/office/drawing/2014/chart" uri="{C3380CC4-5D6E-409C-BE32-E72D297353CC}">
              <c16:uniqueId val="{00000000-9B82-46EA-8136-16158811656A}"/>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w="13970">
              <a:solidFill>
                <a:schemeClr val="tx1">
                  <a:lumMod val="50000"/>
                  <a:lumOff val="50000"/>
                </a:schemeClr>
              </a:solidFill>
              <a:prstDash val="dashDot"/>
            </a:ln>
          </c:spPr>
        </c:majorGridlines>
        <c:numFmt formatCode="[&gt;=1000000]0.0,,&quot; MWh&quot;;[&gt;=1000]0.0,&quot; kWh&quot;;0&quot; Wh&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8563934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Dashboard.xlsx]electricity_analysis!month cost</c:name>
    <c:fmtId val="9"/>
  </c:pivotSource>
  <c:chart>
    <c:title>
      <c:tx>
        <c:rich>
          <a:bodyPr/>
          <a:lstStyle/>
          <a:p>
            <a:pPr>
              <a:defRPr sz="1400" b="1">
                <a:solidFill>
                  <a:schemeClr val="tx1"/>
                </a:solidFill>
                <a:latin typeface="Aptos Narrow (Body)"/>
              </a:defRPr>
            </a:pPr>
            <a:r>
              <a:rPr lang="en-US" sz="1400" b="1">
                <a:solidFill>
                  <a:schemeClr val="tx1"/>
                </a:solidFill>
                <a:latin typeface="Aptos Narrow (Body)"/>
              </a:rPr>
              <a:t>Monthly Bills </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6"/>
      </c:pivotFmt>
      <c:pivotFmt>
        <c:idx val="17"/>
      </c:pivotFmt>
      <c:pivotFmt>
        <c:idx val="18"/>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0"/>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1"/>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2"/>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3"/>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4"/>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5"/>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6"/>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7"/>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8"/>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9"/>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30"/>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31"/>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32"/>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3"/>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4"/>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5"/>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6"/>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7"/>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8"/>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9"/>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40"/>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41"/>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42"/>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43"/>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
        <c:idx val="44"/>
        <c:spPr>
          <a:ln w="28575" cap="rnd">
            <a:solidFill>
              <a:schemeClr val="accent3">
                <a:lumMod val="50000"/>
              </a:schemeClr>
            </a:solidFill>
            <a:round/>
          </a:ln>
          <a:effectLst/>
        </c:spPr>
        <c:marker>
          <c:symbol val="circle"/>
          <c:size val="7"/>
          <c:spPr>
            <a:solidFill>
              <a:srgbClr val="FFFF00"/>
            </a:solidFill>
            <a:ln>
              <a:solidFill>
                <a:schemeClr val="tx1"/>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electricity_analysis!$M$8</c:f>
              <c:strCache>
                <c:ptCount val="1"/>
                <c:pt idx="0">
                  <c:v>Total</c:v>
                </c:pt>
              </c:strCache>
            </c:strRef>
          </c:tx>
          <c:spPr>
            <a:ln w="28575" cap="rnd">
              <a:solidFill>
                <a:schemeClr val="accent3">
                  <a:lumMod val="50000"/>
                </a:schemeClr>
              </a:solidFill>
              <a:round/>
            </a:ln>
            <a:effectLst/>
          </c:spPr>
          <c:marker>
            <c:symbol val="circle"/>
            <c:size val="7"/>
            <c:spPr>
              <a:solidFill>
                <a:srgbClr val="FFFF00"/>
              </a:solidFill>
              <a:ln>
                <a:solidFill>
                  <a:schemeClr val="tx1"/>
                </a:solidFill>
              </a:ln>
            </c:spPr>
          </c:marker>
          <c:cat>
            <c:strRef>
              <c:f>electricity_analysis!$L$9:$L$20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electricity_analysis!$M$9:$M$20</c:f>
              <c:numCache>
                <c:formatCode>\$#,##0.00;\(\$#,##0.00\);\$#,##0.00</c:formatCode>
                <c:ptCount val="12"/>
                <c:pt idx="0">
                  <c:v>157731.81510000001</c:v>
                </c:pt>
                <c:pt idx="1">
                  <c:v>166840.7298</c:v>
                </c:pt>
                <c:pt idx="2">
                  <c:v>167478.79740000001</c:v>
                </c:pt>
                <c:pt idx="3">
                  <c:v>169983.2702</c:v>
                </c:pt>
                <c:pt idx="4">
                  <c:v>163618.24979999999</c:v>
                </c:pt>
                <c:pt idx="5">
                  <c:v>168010.5276</c:v>
                </c:pt>
                <c:pt idx="6">
                  <c:v>161487.51120000001</c:v>
                </c:pt>
                <c:pt idx="7">
                  <c:v>171333.4399</c:v>
                </c:pt>
                <c:pt idx="8">
                  <c:v>176438.7567</c:v>
                </c:pt>
                <c:pt idx="9">
                  <c:v>177054.02729999999</c:v>
                </c:pt>
                <c:pt idx="10">
                  <c:v>176729.69409999999</c:v>
                </c:pt>
                <c:pt idx="11">
                  <c:v>168589.2028</c:v>
                </c:pt>
              </c:numCache>
            </c:numRef>
          </c:val>
          <c:smooth val="1"/>
          <c:extLst>
            <c:ext xmlns:c16="http://schemas.microsoft.com/office/drawing/2014/chart" uri="{C3380CC4-5D6E-409C-BE32-E72D297353CC}">
              <c16:uniqueId val="{00000000-144B-4CEC-8B4F-693E3482EEF9}"/>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w="13970">
              <a:solidFill>
                <a:schemeClr val="tx1">
                  <a:lumMod val="50000"/>
                  <a:lumOff val="50000"/>
                </a:schemeClr>
              </a:solidFill>
              <a:prstDash val="dashDot"/>
            </a:ln>
          </c:spPr>
        </c:majorGridlines>
        <c:numFmt formatCode="[&gt;=1000000]&quot;$&quot;0,,&quot; M&quot;;[&gt;=1000]&quot;$&quot;0,&quot; K&quot;;&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8563934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Dashboard.xlsx]water_analysis!year price</c:name>
    <c:fmtId val="1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noFill/>
          </a:ln>
          <a:effectLst/>
        </c:spPr>
      </c:pivotFmt>
      <c:pivotFmt>
        <c:idx val="19"/>
        <c:spPr>
          <a:solidFill>
            <a:schemeClr val="accent2"/>
          </a:solidFill>
          <a:ln w="19050">
            <a:noFill/>
          </a:ln>
          <a:effectLst/>
        </c:spPr>
      </c:pivotFmt>
      <c:pivotFmt>
        <c:idx val="20"/>
        <c:spPr>
          <a:solidFill>
            <a:schemeClr val="accent3"/>
          </a:solidFill>
          <a:ln w="19050">
            <a:noFill/>
          </a:ln>
          <a:effectLst/>
        </c:spPr>
      </c:pivotFmt>
      <c:pivotFmt>
        <c:idx val="21"/>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pivotFmt>
      <c:pivotFmt>
        <c:idx val="23"/>
        <c:spPr>
          <a:solidFill>
            <a:schemeClr val="accent2"/>
          </a:solidFill>
          <a:ln w="19050">
            <a:noFill/>
          </a:ln>
          <a:effectLst/>
        </c:spPr>
      </c:pivotFmt>
      <c:pivotFmt>
        <c:idx val="24"/>
        <c:spPr>
          <a:solidFill>
            <a:schemeClr val="accent3"/>
          </a:solidFill>
          <a:ln w="19050">
            <a:noFill/>
          </a:ln>
          <a:effectLst/>
        </c:spPr>
      </c:pivotFmt>
      <c:pivotFmt>
        <c:idx val="2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solidFill>
            <a:schemeClr val="accent3"/>
          </a:solidFill>
          <a:ln w="19050">
            <a:noFill/>
          </a:ln>
          <a:effectLst/>
        </c:spPr>
      </c:pivotFmt>
      <c:pivotFmt>
        <c:idx val="29"/>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noFill/>
          </a:ln>
          <a:effectLst/>
        </c:spPr>
      </c:pivotFmt>
      <c:pivotFmt>
        <c:idx val="35"/>
        <c:spPr>
          <a:solidFill>
            <a:schemeClr val="accent2"/>
          </a:solidFill>
          <a:ln w="19050">
            <a:noFill/>
          </a:ln>
          <a:effectLst/>
        </c:spPr>
      </c:pivotFmt>
      <c:pivotFmt>
        <c:idx val="36"/>
        <c:spPr>
          <a:solidFill>
            <a:schemeClr val="accent3"/>
          </a:solidFill>
          <a:ln w="19050">
            <a:noFill/>
          </a:ln>
          <a:effectLst/>
        </c:spPr>
      </c:pivotFmt>
      <c:pivotFmt>
        <c:idx val="3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chemeClr val="accent3"/>
          </a:solidFill>
          <a:ln w="19050">
            <a:noFill/>
          </a:ln>
          <a:effectLst/>
        </c:spPr>
      </c:pivotFmt>
      <c:pivotFmt>
        <c:idx val="4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5"/>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6"/>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7"/>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9"/>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0"/>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2"/>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3"/>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6"/>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7"/>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8"/>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0"/>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71"/>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2"/>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7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6"/>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10859870392307157"/>
          <c:y val="0.12456108255929087"/>
          <c:w val="0.68293847118667683"/>
          <c:h val="0.73937290772785125"/>
        </c:manualLayout>
      </c:layout>
      <c:doughnutChart>
        <c:varyColors val="1"/>
        <c:ser>
          <c:idx val="0"/>
          <c:order val="0"/>
          <c:tx>
            <c:strRef>
              <c:f>water_analysis!$E$8</c:f>
              <c:strCache>
                <c:ptCount val="1"/>
                <c:pt idx="0">
                  <c:v>Total</c:v>
                </c:pt>
              </c:strCache>
            </c:strRef>
          </c:tx>
          <c:spPr>
            <a:ln w="12700">
              <a:solidFill>
                <a:schemeClr val="bg1">
                  <a:lumMod val="85000"/>
                  <a:alpha val="30000"/>
                </a:schemeClr>
              </a:solidFill>
            </a:ln>
          </c:spPr>
          <c:dPt>
            <c:idx val="0"/>
            <c:bubble3D val="0"/>
            <c:spPr>
              <a:solidFill>
                <a:srgbClr val="002060"/>
              </a:solidFill>
              <a:ln w="12700">
                <a:solidFill>
                  <a:schemeClr val="bg1">
                    <a:lumMod val="85000"/>
                    <a:alpha val="30000"/>
                  </a:schemeClr>
                </a:solidFill>
              </a:ln>
              <a:effectLst/>
            </c:spPr>
            <c:extLst>
              <c:ext xmlns:c16="http://schemas.microsoft.com/office/drawing/2014/chart" uri="{C3380CC4-5D6E-409C-BE32-E72D297353CC}">
                <c16:uniqueId val="{00000013-973E-4A87-A145-A2897C977BE8}"/>
              </c:ext>
            </c:extLst>
          </c:dPt>
          <c:dPt>
            <c:idx val="1"/>
            <c:bubble3D val="0"/>
            <c:spPr>
              <a:solidFill>
                <a:schemeClr val="accent4">
                  <a:lumMod val="75000"/>
                </a:schemeClr>
              </a:solidFill>
              <a:ln w="12700">
                <a:solidFill>
                  <a:schemeClr val="bg1">
                    <a:lumMod val="85000"/>
                    <a:alpha val="30000"/>
                  </a:schemeClr>
                </a:solidFill>
              </a:ln>
              <a:effectLst/>
            </c:spPr>
            <c:extLst>
              <c:ext xmlns:c16="http://schemas.microsoft.com/office/drawing/2014/chart" uri="{C3380CC4-5D6E-409C-BE32-E72D297353CC}">
                <c16:uniqueId val="{00000015-973E-4A87-A145-A2897C977BE8}"/>
              </c:ext>
            </c:extLst>
          </c:dPt>
          <c:dPt>
            <c:idx val="2"/>
            <c:bubble3D val="0"/>
            <c:spPr>
              <a:solidFill>
                <a:schemeClr val="accent4">
                  <a:lumMod val="60000"/>
                  <a:lumOff val="40000"/>
                </a:schemeClr>
              </a:solidFill>
              <a:ln w="12700">
                <a:solidFill>
                  <a:schemeClr val="bg1">
                    <a:lumMod val="85000"/>
                    <a:alpha val="30000"/>
                  </a:schemeClr>
                </a:solidFill>
              </a:ln>
              <a:effectLst/>
            </c:spPr>
            <c:extLst>
              <c:ext xmlns:c16="http://schemas.microsoft.com/office/drawing/2014/chart" uri="{C3380CC4-5D6E-409C-BE32-E72D297353CC}">
                <c16:uniqueId val="{00000017-973E-4A87-A145-A2897C977BE8}"/>
              </c:ext>
            </c:extLst>
          </c:dPt>
          <c:dPt>
            <c:idx val="3"/>
            <c:bubble3D val="0"/>
            <c:spPr>
              <a:solidFill>
                <a:schemeClr val="accent4">
                  <a:lumMod val="20000"/>
                  <a:lumOff val="80000"/>
                </a:schemeClr>
              </a:solidFill>
              <a:ln w="12700">
                <a:solidFill>
                  <a:schemeClr val="bg1">
                    <a:lumMod val="85000"/>
                    <a:alpha val="30000"/>
                  </a:schemeClr>
                </a:solidFill>
              </a:ln>
            </c:spPr>
            <c:extLst>
              <c:ext xmlns:c16="http://schemas.microsoft.com/office/drawing/2014/chart" uri="{C3380CC4-5D6E-409C-BE32-E72D297353CC}">
                <c16:uniqueId val="{00000019-973E-4A87-A145-A2897C977BE8}"/>
              </c:ext>
            </c:extLst>
          </c:dPt>
          <c:dLbls>
            <c:dLbl>
              <c:idx val="0"/>
              <c:layout>
                <c:manualLayout>
                  <c:x val="0.17182423753559467"/>
                  <c:y val="-0.1006650300177995"/>
                </c:manualLayout>
              </c:layout>
              <c:showLegendKey val="0"/>
              <c:showVal val="0"/>
              <c:showCatName val="1"/>
              <c:showSerName val="0"/>
              <c:showPercent val="1"/>
              <c:showBubbleSize val="0"/>
              <c:extLst>
                <c:ext xmlns:c15="http://schemas.microsoft.com/office/drawing/2012/chart" uri="{CE6537A1-D6FC-4f65-9D91-7224C49458BB}">
                  <c15:layout>
                    <c:manualLayout>
                      <c:w val="0.16316640754300615"/>
                      <c:h val="0.14852249072314233"/>
                    </c:manualLayout>
                  </c15:layout>
                </c:ext>
                <c:ext xmlns:c16="http://schemas.microsoft.com/office/drawing/2014/chart" uri="{C3380CC4-5D6E-409C-BE32-E72D297353CC}">
                  <c16:uniqueId val="{00000013-973E-4A87-A145-A2897C977BE8}"/>
                </c:ext>
              </c:extLst>
            </c:dLbl>
            <c:dLbl>
              <c:idx val="1"/>
              <c:layout>
                <c:manualLayout>
                  <c:x val="0.12389380530973451"/>
                  <c:y val="5.14909708142769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973E-4A87-A145-A2897C977BE8}"/>
                </c:ext>
              </c:extLst>
            </c:dLbl>
            <c:dLbl>
              <c:idx val="2"/>
              <c:layout>
                <c:manualLayout>
                  <c:x val="-0.17549289221012979"/>
                  <c:y val="6.02075602618638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973E-4A87-A145-A2897C977BE8}"/>
                </c:ext>
              </c:extLst>
            </c:dLbl>
            <c:dLbl>
              <c:idx val="3"/>
              <c:layout>
                <c:manualLayout>
                  <c:x val="-0.11500353857041758"/>
                  <c:y val="-9.0996168582375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973E-4A87-A145-A2897C977BE8}"/>
                </c:ext>
              </c:extLst>
            </c:dLbl>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rnd">
                  <a:solidFill>
                    <a:schemeClr val="tx1">
                      <a:lumMod val="65000"/>
                      <a:lumOff val="35000"/>
                    </a:schemeClr>
                  </a:solidFill>
                  <a:headEnd type="oval" w="sm" len="sm"/>
                </a:ln>
              </c:spPr>
            </c:leaderLines>
            <c:extLst>
              <c:ext xmlns:c15="http://schemas.microsoft.com/office/drawing/2012/chart" uri="{CE6537A1-D6FC-4f65-9D91-7224C49458BB}">
                <c15:spPr xmlns:c15="http://schemas.microsoft.com/office/drawing/2012/chart">
                  <a:prstGeom prst="wedgeRectCallout">
                    <a:avLst/>
                  </a:prstGeom>
                </c15:spPr>
              </c:ext>
            </c:extLst>
          </c:dLbls>
          <c:cat>
            <c:strRef>
              <c:f>water_analysis!$D$9:$D$12</c:f>
              <c:strCache>
                <c:ptCount val="4"/>
                <c:pt idx="0">
                  <c:v>2016</c:v>
                </c:pt>
                <c:pt idx="1">
                  <c:v>2017</c:v>
                </c:pt>
                <c:pt idx="2">
                  <c:v>2018</c:v>
                </c:pt>
                <c:pt idx="3">
                  <c:v>2019</c:v>
                </c:pt>
              </c:strCache>
            </c:strRef>
          </c:cat>
          <c:val>
            <c:numRef>
              <c:f>water_analysis!$E$9:$E$12</c:f>
              <c:numCache>
                <c:formatCode>\$#,##0.00;\(\$#,##0.00\);\$#,##0.00</c:formatCode>
                <c:ptCount val="4"/>
                <c:pt idx="0">
                  <c:v>2259326.2999999998</c:v>
                </c:pt>
                <c:pt idx="1">
                  <c:v>2638119.11</c:v>
                </c:pt>
                <c:pt idx="2">
                  <c:v>2865924.2645</c:v>
                </c:pt>
                <c:pt idx="3">
                  <c:v>3042822.3961</c:v>
                </c:pt>
              </c:numCache>
            </c:numRef>
          </c:val>
          <c:extLst>
            <c:ext xmlns:c16="http://schemas.microsoft.com/office/drawing/2014/chart" uri="{C3380CC4-5D6E-409C-BE32-E72D297353CC}">
              <c16:uniqueId val="{00000018-973E-4A87-A145-A2897C977BE8}"/>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Dashboard.xlsx]water_analysis!year cons</c:name>
    <c:fmtId val="1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noFill/>
          </a:ln>
          <a:effectLst/>
        </c:spPr>
      </c:pivotFmt>
      <c:pivotFmt>
        <c:idx val="19"/>
        <c:spPr>
          <a:solidFill>
            <a:schemeClr val="accent2"/>
          </a:solidFill>
          <a:ln w="19050">
            <a:noFill/>
          </a:ln>
          <a:effectLst/>
        </c:spPr>
      </c:pivotFmt>
      <c:pivotFmt>
        <c:idx val="20"/>
        <c:spPr>
          <a:solidFill>
            <a:schemeClr val="accent3"/>
          </a:solidFill>
          <a:ln w="19050">
            <a:noFill/>
          </a:ln>
          <a:effectLst/>
        </c:spPr>
      </c:pivotFmt>
      <c:pivotFmt>
        <c:idx val="21"/>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pivotFmt>
      <c:pivotFmt>
        <c:idx val="23"/>
        <c:spPr>
          <a:solidFill>
            <a:schemeClr val="accent2"/>
          </a:solidFill>
          <a:ln w="19050">
            <a:noFill/>
          </a:ln>
          <a:effectLst/>
        </c:spPr>
      </c:pivotFmt>
      <c:pivotFmt>
        <c:idx val="24"/>
        <c:spPr>
          <a:solidFill>
            <a:schemeClr val="accent3"/>
          </a:solidFill>
          <a:ln w="19050">
            <a:noFill/>
          </a:ln>
          <a:effectLst/>
        </c:spPr>
      </c:pivotFmt>
      <c:pivotFmt>
        <c:idx val="2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solidFill>
            <a:schemeClr val="accent3"/>
          </a:solidFill>
          <a:ln w="19050">
            <a:noFill/>
          </a:ln>
          <a:effectLst/>
        </c:spPr>
      </c:pivotFmt>
      <c:pivotFmt>
        <c:idx val="29"/>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noFill/>
          </a:ln>
          <a:effectLst/>
        </c:spPr>
      </c:pivotFmt>
      <c:pivotFmt>
        <c:idx val="35"/>
        <c:spPr>
          <a:solidFill>
            <a:schemeClr val="accent2"/>
          </a:solidFill>
          <a:ln w="19050">
            <a:noFill/>
          </a:ln>
          <a:effectLst/>
        </c:spPr>
      </c:pivotFmt>
      <c:pivotFmt>
        <c:idx val="36"/>
        <c:spPr>
          <a:solidFill>
            <a:schemeClr val="accent3"/>
          </a:solidFill>
          <a:ln w="19050">
            <a:noFill/>
          </a:ln>
          <a:effectLst/>
        </c:spPr>
      </c:pivotFmt>
      <c:pivotFmt>
        <c:idx val="3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chemeClr val="accent3"/>
          </a:solidFill>
          <a:ln w="19050">
            <a:noFill/>
          </a:ln>
          <a:effectLst/>
        </c:spPr>
      </c:pivotFmt>
      <c:pivotFmt>
        <c:idx val="4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5"/>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6"/>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7"/>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9"/>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0"/>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2"/>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3"/>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6"/>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7"/>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8"/>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0"/>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71"/>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2"/>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7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0"/>
        <c:spPr>
          <a:solidFill>
            <a:schemeClr val="accent4">
              <a:lumMod val="75000"/>
            </a:schemeClr>
          </a:solidFill>
          <a:ln w="12700">
            <a:solidFill>
              <a:schemeClr val="bg1">
                <a:lumMod val="85000"/>
                <a:alpha val="30000"/>
              </a:schemeClr>
            </a:solidFill>
          </a:ln>
          <a:effectLst/>
        </c:spPr>
        <c:dLbl>
          <c:idx val="0"/>
          <c:layout>
            <c:manualLayout>
              <c:x val="0.15026523583286266"/>
              <c:y val="5.1490959463400411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10859870392307157"/>
          <c:y val="0.12456108255929087"/>
          <c:w val="0.68293847118667683"/>
          <c:h val="0.73937290772785125"/>
        </c:manualLayout>
      </c:layout>
      <c:doughnutChart>
        <c:varyColors val="1"/>
        <c:ser>
          <c:idx val="0"/>
          <c:order val="0"/>
          <c:tx>
            <c:strRef>
              <c:f>water_analysis!$B$8</c:f>
              <c:strCache>
                <c:ptCount val="1"/>
                <c:pt idx="0">
                  <c:v>Total</c:v>
                </c:pt>
              </c:strCache>
            </c:strRef>
          </c:tx>
          <c:spPr>
            <a:ln w="12700">
              <a:solidFill>
                <a:schemeClr val="bg1">
                  <a:lumMod val="85000"/>
                  <a:alpha val="30000"/>
                </a:schemeClr>
              </a:solidFill>
            </a:ln>
          </c:spPr>
          <c:dPt>
            <c:idx val="0"/>
            <c:bubble3D val="0"/>
            <c:spPr>
              <a:solidFill>
                <a:srgbClr val="002060"/>
              </a:solidFill>
              <a:ln w="12700">
                <a:solidFill>
                  <a:schemeClr val="bg1">
                    <a:lumMod val="85000"/>
                    <a:alpha val="30000"/>
                  </a:schemeClr>
                </a:solidFill>
              </a:ln>
              <a:effectLst/>
            </c:spPr>
            <c:extLst>
              <c:ext xmlns:c16="http://schemas.microsoft.com/office/drawing/2014/chart" uri="{C3380CC4-5D6E-409C-BE32-E72D297353CC}">
                <c16:uniqueId val="{0000000B-E6EA-42F1-AEE9-08D219C3E7B0}"/>
              </c:ext>
            </c:extLst>
          </c:dPt>
          <c:dPt>
            <c:idx val="1"/>
            <c:bubble3D val="0"/>
            <c:spPr>
              <a:solidFill>
                <a:schemeClr val="accent4">
                  <a:lumMod val="75000"/>
                </a:schemeClr>
              </a:solidFill>
              <a:ln w="12700">
                <a:solidFill>
                  <a:schemeClr val="bg1">
                    <a:lumMod val="85000"/>
                    <a:alpha val="30000"/>
                  </a:schemeClr>
                </a:solidFill>
              </a:ln>
              <a:effectLst/>
            </c:spPr>
            <c:extLst>
              <c:ext xmlns:c16="http://schemas.microsoft.com/office/drawing/2014/chart" uri="{C3380CC4-5D6E-409C-BE32-E72D297353CC}">
                <c16:uniqueId val="{0000000D-E6EA-42F1-AEE9-08D219C3E7B0}"/>
              </c:ext>
            </c:extLst>
          </c:dPt>
          <c:dPt>
            <c:idx val="2"/>
            <c:bubble3D val="0"/>
            <c:spPr>
              <a:solidFill>
                <a:schemeClr val="accent4">
                  <a:lumMod val="60000"/>
                  <a:lumOff val="40000"/>
                </a:schemeClr>
              </a:solidFill>
              <a:ln w="12700">
                <a:solidFill>
                  <a:schemeClr val="bg1">
                    <a:lumMod val="85000"/>
                    <a:alpha val="30000"/>
                  </a:schemeClr>
                </a:solidFill>
              </a:ln>
              <a:effectLst/>
            </c:spPr>
            <c:extLst>
              <c:ext xmlns:c16="http://schemas.microsoft.com/office/drawing/2014/chart" uri="{C3380CC4-5D6E-409C-BE32-E72D297353CC}">
                <c16:uniqueId val="{0000000F-E6EA-42F1-AEE9-08D219C3E7B0}"/>
              </c:ext>
            </c:extLst>
          </c:dPt>
          <c:dPt>
            <c:idx val="3"/>
            <c:bubble3D val="0"/>
            <c:spPr>
              <a:solidFill>
                <a:schemeClr val="accent4">
                  <a:lumMod val="20000"/>
                  <a:lumOff val="80000"/>
                </a:schemeClr>
              </a:solidFill>
              <a:ln w="12700">
                <a:solidFill>
                  <a:schemeClr val="bg1">
                    <a:lumMod val="85000"/>
                    <a:alpha val="30000"/>
                  </a:schemeClr>
                </a:solidFill>
              </a:ln>
            </c:spPr>
            <c:extLst>
              <c:ext xmlns:c16="http://schemas.microsoft.com/office/drawing/2014/chart" uri="{C3380CC4-5D6E-409C-BE32-E72D297353CC}">
                <c16:uniqueId val="{00000011-E6EA-42F1-AEE9-08D219C3E7B0}"/>
              </c:ext>
            </c:extLst>
          </c:dPt>
          <c:dLbls>
            <c:dLbl>
              <c:idx val="0"/>
              <c:layout>
                <c:manualLayout>
                  <c:x val="0.17182423753559467"/>
                  <c:y val="-0.1006650300177995"/>
                </c:manualLayout>
              </c:layout>
              <c:showLegendKey val="0"/>
              <c:showVal val="0"/>
              <c:showCatName val="1"/>
              <c:showSerName val="0"/>
              <c:showPercent val="1"/>
              <c:showBubbleSize val="0"/>
              <c:extLst>
                <c:ext xmlns:c15="http://schemas.microsoft.com/office/drawing/2012/chart" uri="{CE6537A1-D6FC-4f65-9D91-7224C49458BB}">
                  <c15:layout>
                    <c:manualLayout>
                      <c:w val="0.16316640754300615"/>
                      <c:h val="0.14852249072314233"/>
                    </c:manualLayout>
                  </c15:layout>
                </c:ext>
                <c:ext xmlns:c16="http://schemas.microsoft.com/office/drawing/2014/chart" uri="{C3380CC4-5D6E-409C-BE32-E72D297353CC}">
                  <c16:uniqueId val="{0000000B-E6EA-42F1-AEE9-08D219C3E7B0}"/>
                </c:ext>
              </c:extLst>
            </c:dLbl>
            <c:dLbl>
              <c:idx val="1"/>
              <c:layout>
                <c:manualLayout>
                  <c:x val="0.15026523583286266"/>
                  <c:y val="5.14909594634004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6EA-42F1-AEE9-08D219C3E7B0}"/>
                </c:ext>
              </c:extLst>
            </c:dLbl>
            <c:dLbl>
              <c:idx val="2"/>
              <c:layout>
                <c:manualLayout>
                  <c:x val="-0.10914465890878684"/>
                  <c:y val="0.117678721297562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E6EA-42F1-AEE9-08D219C3E7B0}"/>
                </c:ext>
              </c:extLst>
            </c:dLbl>
            <c:dLbl>
              <c:idx val="3"/>
              <c:layout>
                <c:manualLayout>
                  <c:x val="-0.11500353857041758"/>
                  <c:y val="-9.0996168582375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E6EA-42F1-AEE9-08D219C3E7B0}"/>
                </c:ext>
              </c:extLst>
            </c:dLbl>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rnd">
                  <a:solidFill>
                    <a:schemeClr val="tx1">
                      <a:lumMod val="65000"/>
                      <a:lumOff val="35000"/>
                    </a:schemeClr>
                  </a:solidFill>
                  <a:headEnd type="oval" w="sm" len="sm"/>
                </a:ln>
              </c:spPr>
            </c:leaderLines>
            <c:extLst>
              <c:ext xmlns:c15="http://schemas.microsoft.com/office/drawing/2012/chart" uri="{CE6537A1-D6FC-4f65-9D91-7224C49458BB}">
                <c15:spPr xmlns:c15="http://schemas.microsoft.com/office/drawing/2012/chart">
                  <a:prstGeom prst="wedgeRectCallout">
                    <a:avLst/>
                  </a:prstGeom>
                </c15:spPr>
              </c:ext>
            </c:extLst>
          </c:dLbls>
          <c:cat>
            <c:strRef>
              <c:f>water_analysis!$A$9:$A$12</c:f>
              <c:strCache>
                <c:ptCount val="4"/>
                <c:pt idx="0">
                  <c:v>2016</c:v>
                </c:pt>
                <c:pt idx="1">
                  <c:v>2017</c:v>
                </c:pt>
                <c:pt idx="2">
                  <c:v>2018</c:v>
                </c:pt>
                <c:pt idx="3">
                  <c:v>2019</c:v>
                </c:pt>
              </c:strCache>
            </c:strRef>
          </c:cat>
          <c:val>
            <c:numRef>
              <c:f>water_analysis!$B$9:$B$12</c:f>
              <c:numCache>
                <c:formatCode>General</c:formatCode>
                <c:ptCount val="4"/>
                <c:pt idx="0">
                  <c:v>45186526</c:v>
                </c:pt>
                <c:pt idx="1">
                  <c:v>47965802</c:v>
                </c:pt>
                <c:pt idx="2">
                  <c:v>47370649</c:v>
                </c:pt>
                <c:pt idx="3">
                  <c:v>45722350</c:v>
                </c:pt>
              </c:numCache>
            </c:numRef>
          </c:val>
          <c:extLst>
            <c:ext xmlns:c16="http://schemas.microsoft.com/office/drawing/2014/chart" uri="{C3380CC4-5D6E-409C-BE32-E72D297353CC}">
              <c16:uniqueId val="{00000012-E6EA-42F1-AEE9-08D219C3E7B0}"/>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Dashboard.xlsx]water_analysis!month cons</c:name>
    <c:fmtId val="15"/>
  </c:pivotSource>
  <c:chart>
    <c:title>
      <c:tx>
        <c:rich>
          <a:bodyPr/>
          <a:lstStyle/>
          <a:p>
            <a:pPr>
              <a:defRPr sz="1400" b="1">
                <a:solidFill>
                  <a:schemeClr val="bg1"/>
                </a:solidFill>
                <a:latin typeface="Aptos Narrow (Body)"/>
              </a:defRPr>
            </a:pPr>
            <a:r>
              <a:rPr lang="en-US" sz="1400" b="1">
                <a:solidFill>
                  <a:schemeClr val="bg1"/>
                </a:solidFill>
                <a:latin typeface="Aptos Narrow (Body)"/>
              </a:rPr>
              <a:t>Month</a:t>
            </a:r>
            <a:r>
              <a:rPr lang="en-US" sz="1400" b="1" baseline="0">
                <a:solidFill>
                  <a:schemeClr val="bg1"/>
                </a:solidFill>
                <a:latin typeface="Aptos Narrow (Body)"/>
              </a:rPr>
              <a:t>ly Consumption Stream</a:t>
            </a:r>
            <a:endParaRPr lang="en-US" sz="1400" b="1">
              <a:solidFill>
                <a:schemeClr val="bg1"/>
              </a:solidFill>
              <a:latin typeface="Aptos Narrow (Body)"/>
            </a:endParaRP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6"/>
      </c:pivotFmt>
      <c:pivotFmt>
        <c:idx val="17"/>
      </c:pivotFmt>
      <c:pivotFmt>
        <c:idx val="18"/>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0"/>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1"/>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2"/>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3"/>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4"/>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5"/>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6"/>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7"/>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water_analysis!$H$8</c:f>
              <c:strCache>
                <c:ptCount val="1"/>
                <c:pt idx="0">
                  <c:v>Total</c:v>
                </c:pt>
              </c:strCache>
            </c:strRef>
          </c:tx>
          <c:spPr>
            <a:ln w="28575" cap="rnd">
              <a:solidFill>
                <a:schemeClr val="bg1">
                  <a:lumMod val="85000"/>
                </a:schemeClr>
              </a:solidFill>
              <a:round/>
            </a:ln>
            <a:effectLst/>
          </c:spPr>
          <c:marker>
            <c:symbol val="circle"/>
            <c:size val="7"/>
            <c:spPr>
              <a:solidFill>
                <a:srgbClr val="00B0F0"/>
              </a:solidFill>
              <a:ln>
                <a:solidFill>
                  <a:schemeClr val="tx1"/>
                </a:solidFill>
              </a:ln>
            </c:spPr>
          </c:marker>
          <c:cat>
            <c:strRef>
              <c:f>water_analysis!$G$9:$G$20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water_analysis!$H$9:$H$20</c:f>
              <c:numCache>
                <c:formatCode>General</c:formatCode>
                <c:ptCount val="12"/>
                <c:pt idx="0">
                  <c:v>16043440</c:v>
                </c:pt>
                <c:pt idx="1">
                  <c:v>15948317</c:v>
                </c:pt>
                <c:pt idx="2">
                  <c:v>15238365</c:v>
                </c:pt>
                <c:pt idx="3">
                  <c:v>16418074</c:v>
                </c:pt>
                <c:pt idx="4">
                  <c:v>15704580</c:v>
                </c:pt>
                <c:pt idx="5">
                  <c:v>15509248</c:v>
                </c:pt>
                <c:pt idx="6">
                  <c:v>15560108</c:v>
                </c:pt>
                <c:pt idx="7">
                  <c:v>14907600</c:v>
                </c:pt>
                <c:pt idx="8">
                  <c:v>14886683</c:v>
                </c:pt>
                <c:pt idx="9">
                  <c:v>15455378</c:v>
                </c:pt>
                <c:pt idx="10">
                  <c:v>15151465</c:v>
                </c:pt>
                <c:pt idx="11">
                  <c:v>15422069</c:v>
                </c:pt>
              </c:numCache>
            </c:numRef>
          </c:val>
          <c:smooth val="1"/>
          <c:extLst>
            <c:ext xmlns:c16="http://schemas.microsoft.com/office/drawing/2014/chart" uri="{C3380CC4-5D6E-409C-BE32-E72D297353CC}">
              <c16:uniqueId val="{00000000-F54F-4AC1-B334-ECBAAECB8BCC}"/>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a:prstDash val="dashDot"/>
            </a:ln>
          </c:spPr>
        </c:majorGridlines>
        <c:numFmt formatCode="[&gt;=1000000]0,,&quot;M m³&quot;;[&gt;=1000]0,&quot;k m³&quot;;0&quot; m³&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8563934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Dashboard.xlsx]water_analysis!month price</c:name>
    <c:fmtId val="12"/>
  </c:pivotSource>
  <c:chart>
    <c:title>
      <c:tx>
        <c:rich>
          <a:bodyPr/>
          <a:lstStyle/>
          <a:p>
            <a:pPr>
              <a:defRPr sz="1400" b="1">
                <a:solidFill>
                  <a:schemeClr val="bg1"/>
                </a:solidFill>
                <a:latin typeface="Aptos Narrow (Body)"/>
              </a:defRPr>
            </a:pPr>
            <a:r>
              <a:rPr lang="en-US" sz="1400" b="1">
                <a:solidFill>
                  <a:schemeClr val="bg1"/>
                </a:solidFill>
                <a:latin typeface="Aptos Narrow (Body)"/>
              </a:rPr>
              <a:t>Monthly Total Bills</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6"/>
      </c:pivotFmt>
      <c:pivotFmt>
        <c:idx val="17"/>
      </c:pivotFmt>
      <c:pivotFmt>
        <c:idx val="18"/>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0"/>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1"/>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2"/>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3"/>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4"/>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5"/>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6"/>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7"/>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8"/>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9"/>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30"/>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water_analysis!$K$8</c:f>
              <c:strCache>
                <c:ptCount val="1"/>
                <c:pt idx="0">
                  <c:v>Total</c:v>
                </c:pt>
              </c:strCache>
            </c:strRef>
          </c:tx>
          <c:spPr>
            <a:ln w="28575" cap="rnd">
              <a:solidFill>
                <a:schemeClr val="bg1">
                  <a:lumMod val="85000"/>
                </a:schemeClr>
              </a:solidFill>
              <a:round/>
            </a:ln>
            <a:effectLst/>
          </c:spPr>
          <c:marker>
            <c:symbol val="circle"/>
            <c:size val="7"/>
            <c:spPr>
              <a:solidFill>
                <a:srgbClr val="00B0F0"/>
              </a:solidFill>
              <a:ln>
                <a:solidFill>
                  <a:schemeClr val="tx1"/>
                </a:solidFill>
              </a:ln>
            </c:spPr>
          </c:marker>
          <c:cat>
            <c:strRef>
              <c:f>water_analysis!$J$9:$J$20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water_analysis!$K$9:$K$20</c:f>
              <c:numCache>
                <c:formatCode>\$#,##0.00;\(\$#,##0.00\);\$#,##0.00</c:formatCode>
                <c:ptCount val="12"/>
                <c:pt idx="0">
                  <c:v>932100.14260000002</c:v>
                </c:pt>
                <c:pt idx="1">
                  <c:v>929667.77280000004</c:v>
                </c:pt>
                <c:pt idx="2">
                  <c:v>885762.56129999994</c:v>
                </c:pt>
                <c:pt idx="3">
                  <c:v>953030.3101</c:v>
                </c:pt>
                <c:pt idx="4">
                  <c:v>904974.57270000002</c:v>
                </c:pt>
                <c:pt idx="5">
                  <c:v>899998.39350000001</c:v>
                </c:pt>
                <c:pt idx="6">
                  <c:v>904949.07909999997</c:v>
                </c:pt>
                <c:pt idx="7">
                  <c:v>865130.07539999997</c:v>
                </c:pt>
                <c:pt idx="8">
                  <c:v>864299.07929999998</c:v>
                </c:pt>
                <c:pt idx="9">
                  <c:v>893709.85389999999</c:v>
                </c:pt>
                <c:pt idx="10">
                  <c:v>879798.64619999996</c:v>
                </c:pt>
                <c:pt idx="11">
                  <c:v>892771.58369999996</c:v>
                </c:pt>
              </c:numCache>
            </c:numRef>
          </c:val>
          <c:smooth val="1"/>
          <c:extLst>
            <c:ext xmlns:c16="http://schemas.microsoft.com/office/drawing/2014/chart" uri="{C3380CC4-5D6E-409C-BE32-E72D297353CC}">
              <c16:uniqueId val="{00000000-14E6-48FB-9D3B-6E52CA0A4095}"/>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a:prstDash val="dashDot"/>
            </a:ln>
          </c:spPr>
        </c:majorGridlines>
        <c:numFmt formatCode="[&gt;=1000000]&quot;$&quot;0,,&quot; M&quot;;[&gt;=1000]&quot;$&quot;0,&quot; K&quot;;&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8563934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Dashboard.xlsx]water_analysis!PivotTable10</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Building Hydration Rank</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1C54"/>
          </a:solidFill>
          <a:ln w="12700">
            <a:noFill/>
          </a:ln>
          <a:effectLst/>
        </c:spPr>
        <c:marker>
          <c:symbol val="none"/>
        </c:marker>
        <c:dLbl>
          <c:idx val="0"/>
          <c:numFmt formatCode="[&gt;=1000000]0,,&quot;M m³&quot;;[&gt;=1000]0,&quot;k m³&quot;;0&quot; m³&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water_analysis!$B$16</c:f>
              <c:strCache>
                <c:ptCount val="1"/>
                <c:pt idx="0">
                  <c:v>Total</c:v>
                </c:pt>
              </c:strCache>
            </c:strRef>
          </c:tx>
          <c:spPr>
            <a:solidFill>
              <a:srgbClr val="001C54"/>
            </a:solidFill>
            <a:ln w="12700">
              <a:noFill/>
            </a:ln>
            <a:effectLst/>
          </c:spPr>
          <c:invertIfNegative val="0"/>
          <c:dLbls>
            <c:numFmt formatCode="[&gt;=1000000]0,,&quot;M m³&quot;;[&gt;=1000]0,&quot;k m³&quot;;0&quot; m³&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water_analysis!$A$17:$A$21</c:f>
              <c:strCache>
                <c:ptCount val="5"/>
                <c:pt idx="0">
                  <c:v>B1005</c:v>
                </c:pt>
                <c:pt idx="1">
                  <c:v>B1001</c:v>
                </c:pt>
                <c:pt idx="2">
                  <c:v>B1000</c:v>
                </c:pt>
                <c:pt idx="3">
                  <c:v>B1008</c:v>
                </c:pt>
                <c:pt idx="4">
                  <c:v>B1006</c:v>
                </c:pt>
              </c:strCache>
            </c:strRef>
          </c:cat>
          <c:val>
            <c:numRef>
              <c:f>water_analysis!$B$17:$B$21</c:f>
              <c:numCache>
                <c:formatCode>General</c:formatCode>
                <c:ptCount val="5"/>
                <c:pt idx="0">
                  <c:v>17290738</c:v>
                </c:pt>
                <c:pt idx="1">
                  <c:v>17306610</c:v>
                </c:pt>
                <c:pt idx="2">
                  <c:v>17378023</c:v>
                </c:pt>
                <c:pt idx="3">
                  <c:v>17723457</c:v>
                </c:pt>
                <c:pt idx="4">
                  <c:v>17877559</c:v>
                </c:pt>
              </c:numCache>
            </c:numRef>
          </c:val>
          <c:extLst>
            <c:ext xmlns:c16="http://schemas.microsoft.com/office/drawing/2014/chart" uri="{C3380CC4-5D6E-409C-BE32-E72D297353CC}">
              <c16:uniqueId val="{00000000-0F65-4133-9EE0-DA6667B4146D}"/>
            </c:ext>
          </c:extLst>
        </c:ser>
        <c:dLbls>
          <c:dLblPos val="outEnd"/>
          <c:showLegendKey val="0"/>
          <c:showVal val="1"/>
          <c:showCatName val="0"/>
          <c:showSerName val="0"/>
          <c:showPercent val="0"/>
          <c:showBubbleSize val="0"/>
        </c:dLbls>
        <c:gapWidth val="23"/>
        <c:axId val="1557341199"/>
        <c:axId val="1557361839"/>
      </c:barChart>
      <c:catAx>
        <c:axId val="15573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7361839"/>
        <c:crosses val="autoZero"/>
        <c:auto val="1"/>
        <c:lblAlgn val="ctr"/>
        <c:lblOffset val="100"/>
        <c:noMultiLvlLbl val="0"/>
      </c:catAx>
      <c:valAx>
        <c:axId val="1557361839"/>
        <c:scaling>
          <c:orientation val="minMax"/>
        </c:scaling>
        <c:delete val="1"/>
        <c:axPos val="b"/>
        <c:numFmt formatCode="General" sourceLinked="1"/>
        <c:majorTickMark val="none"/>
        <c:minorTickMark val="none"/>
        <c:tickLblPos val="nextTo"/>
        <c:crossAx val="1557341199"/>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Dashboard.xlsx]water_analysis!PivotTable11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Building</a:t>
            </a:r>
            <a:r>
              <a:rPr lang="en-US" baseline="0">
                <a:solidFill>
                  <a:schemeClr val="bg1"/>
                </a:solidFill>
              </a:rPr>
              <a:t> Bills Outflow</a:t>
            </a:r>
            <a:endParaRPr lang="en-US">
              <a:solidFill>
                <a:schemeClr val="bg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w="12700">
            <a:noFill/>
          </a:ln>
          <a:effectLst/>
        </c:spPr>
        <c:marker>
          <c:symbol val="none"/>
        </c:marker>
        <c:dLbl>
          <c:idx val="0"/>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water_analysis!$E$16</c:f>
              <c:strCache>
                <c:ptCount val="1"/>
                <c:pt idx="0">
                  <c:v>Total</c:v>
                </c:pt>
              </c:strCache>
            </c:strRef>
          </c:tx>
          <c:spPr>
            <a:solidFill>
              <a:schemeClr val="bg1">
                <a:lumMod val="85000"/>
              </a:schemeClr>
            </a:solidFill>
            <a:ln w="12700">
              <a:noFill/>
            </a:ln>
            <a:effectLst/>
          </c:spPr>
          <c:invertIfNegative val="0"/>
          <c:dLbls>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water_analysis!$D$17:$D$21</c:f>
              <c:strCache>
                <c:ptCount val="5"/>
                <c:pt idx="0">
                  <c:v>B1003</c:v>
                </c:pt>
                <c:pt idx="1">
                  <c:v>B1000</c:v>
                </c:pt>
                <c:pt idx="2">
                  <c:v>B1001</c:v>
                </c:pt>
                <c:pt idx="3">
                  <c:v>B1006</c:v>
                </c:pt>
                <c:pt idx="4">
                  <c:v>B1008</c:v>
                </c:pt>
              </c:strCache>
            </c:strRef>
          </c:cat>
          <c:val>
            <c:numRef>
              <c:f>water_analysis!$E$17:$E$21</c:f>
              <c:numCache>
                <c:formatCode>\$#,##0.00;\(\$#,##0.00\);\$#,##0.00</c:formatCode>
                <c:ptCount val="5"/>
                <c:pt idx="0">
                  <c:v>1001807.4</c:v>
                </c:pt>
                <c:pt idx="1">
                  <c:v>1006647.7997</c:v>
                </c:pt>
                <c:pt idx="2">
                  <c:v>1013730.4969</c:v>
                </c:pt>
                <c:pt idx="3">
                  <c:v>1033106.3202</c:v>
                </c:pt>
                <c:pt idx="4">
                  <c:v>1033473.7853</c:v>
                </c:pt>
              </c:numCache>
            </c:numRef>
          </c:val>
          <c:extLst>
            <c:ext xmlns:c16="http://schemas.microsoft.com/office/drawing/2014/chart" uri="{C3380CC4-5D6E-409C-BE32-E72D297353CC}">
              <c16:uniqueId val="{00000000-3BA4-4DEC-BE7D-F726FDF5AF3F}"/>
            </c:ext>
          </c:extLst>
        </c:ser>
        <c:dLbls>
          <c:dLblPos val="outEnd"/>
          <c:showLegendKey val="0"/>
          <c:showVal val="1"/>
          <c:showCatName val="0"/>
          <c:showSerName val="0"/>
          <c:showPercent val="0"/>
          <c:showBubbleSize val="0"/>
        </c:dLbls>
        <c:gapWidth val="23"/>
        <c:axId val="1557341199"/>
        <c:axId val="1557361839"/>
      </c:barChart>
      <c:catAx>
        <c:axId val="15573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7361839"/>
        <c:crosses val="autoZero"/>
        <c:auto val="1"/>
        <c:lblAlgn val="ctr"/>
        <c:lblOffset val="100"/>
        <c:noMultiLvlLbl val="0"/>
      </c:catAx>
      <c:valAx>
        <c:axId val="1557361839"/>
        <c:scaling>
          <c:orientation val="minMax"/>
        </c:scaling>
        <c:delete val="1"/>
        <c:axPos val="b"/>
        <c:numFmt formatCode="\$#,##0.00;\(\$#,##0.00\);\$#,##0.00" sourceLinked="1"/>
        <c:majorTickMark val="none"/>
        <c:minorTickMark val="none"/>
        <c:tickLblPos val="nextTo"/>
        <c:crossAx val="1557341199"/>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Dashboard.xlsx]water_analysis!PivotTable12</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Regional Water Intake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1C54"/>
          </a:solidFill>
          <a:ln>
            <a:noFill/>
          </a:ln>
          <a:effectLst/>
        </c:spPr>
        <c:marker>
          <c:symbol val="none"/>
        </c:marker>
        <c:dLbl>
          <c:idx val="0"/>
          <c:numFmt formatCode="[&gt;=1000000]0,,&quot;M m³&quot;;[&gt;=1000]0,&quot;k m³&quot;;0&quot; m³&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water_analysis!$H$24</c:f>
              <c:strCache>
                <c:ptCount val="1"/>
                <c:pt idx="0">
                  <c:v>Total</c:v>
                </c:pt>
              </c:strCache>
            </c:strRef>
          </c:tx>
          <c:spPr>
            <a:solidFill>
              <a:srgbClr val="001C54"/>
            </a:solidFill>
            <a:ln>
              <a:noFill/>
            </a:ln>
            <a:effectLst/>
          </c:spPr>
          <c:invertIfNegative val="0"/>
          <c:dLbls>
            <c:numFmt formatCode="[&gt;=1000000]0,,&quot;M m³&quot;;[&gt;=1000]0,&quot;k m³&quot;;0&quot; m³&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water_analysis!$G$25:$G$29</c:f>
              <c:strCache>
                <c:ptCount val="5"/>
                <c:pt idx="0">
                  <c:v>New York</c:v>
                </c:pt>
                <c:pt idx="1">
                  <c:v>Chicago</c:v>
                </c:pt>
                <c:pt idx="2">
                  <c:v>Los Angeles</c:v>
                </c:pt>
                <c:pt idx="3">
                  <c:v>Phoenix</c:v>
                </c:pt>
                <c:pt idx="4">
                  <c:v>Houston</c:v>
                </c:pt>
              </c:strCache>
            </c:strRef>
          </c:cat>
          <c:val>
            <c:numRef>
              <c:f>water_analysis!$H$25:$H$29</c:f>
              <c:numCache>
                <c:formatCode>General</c:formatCode>
                <c:ptCount val="5"/>
                <c:pt idx="0">
                  <c:v>50709610</c:v>
                </c:pt>
                <c:pt idx="1">
                  <c:v>50361577</c:v>
                </c:pt>
                <c:pt idx="2">
                  <c:v>50005843</c:v>
                </c:pt>
                <c:pt idx="3">
                  <c:v>17877559</c:v>
                </c:pt>
                <c:pt idx="4">
                  <c:v>17290738</c:v>
                </c:pt>
              </c:numCache>
            </c:numRef>
          </c:val>
          <c:extLst>
            <c:ext xmlns:c16="http://schemas.microsoft.com/office/drawing/2014/chart" uri="{C3380CC4-5D6E-409C-BE32-E72D297353CC}">
              <c16:uniqueId val="{00000000-78EB-434D-AE43-B6B8804F7DFD}"/>
            </c:ext>
          </c:extLst>
        </c:ser>
        <c:dLbls>
          <c:dLblPos val="outEnd"/>
          <c:showLegendKey val="0"/>
          <c:showVal val="1"/>
          <c:showCatName val="0"/>
          <c:showSerName val="0"/>
          <c:showPercent val="0"/>
          <c:showBubbleSize val="0"/>
        </c:dLbls>
        <c:gapWidth val="21"/>
        <c:overlap val="-27"/>
        <c:axId val="1157701071"/>
        <c:axId val="1157697231"/>
      </c:barChart>
      <c:catAx>
        <c:axId val="11577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7697231"/>
        <c:crosses val="autoZero"/>
        <c:auto val="1"/>
        <c:lblAlgn val="ctr"/>
        <c:lblOffset val="100"/>
        <c:noMultiLvlLbl val="0"/>
      </c:catAx>
      <c:valAx>
        <c:axId val="1157697231"/>
        <c:scaling>
          <c:orientation val="minMax"/>
        </c:scaling>
        <c:delete val="1"/>
        <c:axPos val="l"/>
        <c:numFmt formatCode="General" sourceLinked="1"/>
        <c:majorTickMark val="none"/>
        <c:minorTickMark val="none"/>
        <c:tickLblPos val="nextTo"/>
        <c:crossAx val="1157701071"/>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Dashboard.xlsx]water_analysis!PivotTable13</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Regional Water Pricing</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a:noFill/>
          </a:ln>
          <a:effectLst/>
        </c:spPr>
        <c:marker>
          <c:symbol val="none"/>
        </c:marker>
        <c:dLbl>
          <c:idx val="0"/>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water_analysis!$K$23</c:f>
              <c:strCache>
                <c:ptCount val="1"/>
                <c:pt idx="0">
                  <c:v>Total</c:v>
                </c:pt>
              </c:strCache>
            </c:strRef>
          </c:tx>
          <c:spPr>
            <a:solidFill>
              <a:schemeClr val="bg1">
                <a:lumMod val="85000"/>
              </a:schemeClr>
            </a:solidFill>
            <a:ln>
              <a:noFill/>
            </a:ln>
            <a:effectLst/>
          </c:spPr>
          <c:invertIfNegative val="0"/>
          <c:dLbls>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water_analysis!$J$24:$J$28</c:f>
              <c:strCache>
                <c:ptCount val="5"/>
                <c:pt idx="0">
                  <c:v>New York</c:v>
                </c:pt>
                <c:pt idx="1">
                  <c:v>Chicago</c:v>
                </c:pt>
                <c:pt idx="2">
                  <c:v>Los Angeles</c:v>
                </c:pt>
                <c:pt idx="3">
                  <c:v>Phoenix</c:v>
                </c:pt>
                <c:pt idx="4">
                  <c:v>Houston</c:v>
                </c:pt>
              </c:strCache>
            </c:strRef>
          </c:cat>
          <c:val>
            <c:numRef>
              <c:f>water_analysis!$K$24:$K$28</c:f>
              <c:numCache>
                <c:formatCode>\$#,##0.00;\(\$#,##0.00\);\$#,##0.00</c:formatCode>
                <c:ptCount val="5"/>
                <c:pt idx="0">
                  <c:v>2948617.7308999998</c:v>
                </c:pt>
                <c:pt idx="1">
                  <c:v>2923647.6897999998</c:v>
                </c:pt>
                <c:pt idx="2">
                  <c:v>2901404.3421999998</c:v>
                </c:pt>
                <c:pt idx="3">
                  <c:v>1033106.3202</c:v>
                </c:pt>
                <c:pt idx="4">
                  <c:v>999415.98750000005</c:v>
                </c:pt>
              </c:numCache>
            </c:numRef>
          </c:val>
          <c:extLst>
            <c:ext xmlns:c16="http://schemas.microsoft.com/office/drawing/2014/chart" uri="{C3380CC4-5D6E-409C-BE32-E72D297353CC}">
              <c16:uniqueId val="{00000000-BFCC-4414-8329-27914C55A3DC}"/>
            </c:ext>
          </c:extLst>
        </c:ser>
        <c:dLbls>
          <c:dLblPos val="outEnd"/>
          <c:showLegendKey val="0"/>
          <c:showVal val="1"/>
          <c:showCatName val="0"/>
          <c:showSerName val="0"/>
          <c:showPercent val="0"/>
          <c:showBubbleSize val="0"/>
        </c:dLbls>
        <c:gapWidth val="21"/>
        <c:overlap val="-27"/>
        <c:axId val="1157701071"/>
        <c:axId val="1157697231"/>
      </c:barChart>
      <c:catAx>
        <c:axId val="11577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7697231"/>
        <c:crosses val="autoZero"/>
        <c:auto val="1"/>
        <c:lblAlgn val="ctr"/>
        <c:lblOffset val="100"/>
        <c:noMultiLvlLbl val="0"/>
      </c:catAx>
      <c:valAx>
        <c:axId val="1157697231"/>
        <c:scaling>
          <c:orientation val="minMax"/>
        </c:scaling>
        <c:delete val="1"/>
        <c:axPos val="l"/>
        <c:numFmt formatCode="\$#,##0.00;\(\$#,##0.00\);\$#,##0.00" sourceLinked="1"/>
        <c:majorTickMark val="none"/>
        <c:minorTickMark val="none"/>
        <c:tickLblPos val="nextTo"/>
        <c:crossAx val="1157701071"/>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Dashboard.xlsx]gas_analysis!year cons</c:name>
    <c:fmtId val="3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noFill/>
          </a:ln>
          <a:effectLst/>
        </c:spPr>
      </c:pivotFmt>
      <c:pivotFmt>
        <c:idx val="19"/>
        <c:spPr>
          <a:solidFill>
            <a:schemeClr val="accent2"/>
          </a:solidFill>
          <a:ln w="19050">
            <a:noFill/>
          </a:ln>
          <a:effectLst/>
        </c:spPr>
      </c:pivotFmt>
      <c:pivotFmt>
        <c:idx val="20"/>
        <c:spPr>
          <a:solidFill>
            <a:schemeClr val="accent3"/>
          </a:solidFill>
          <a:ln w="19050">
            <a:noFill/>
          </a:ln>
          <a:effectLst/>
        </c:spPr>
      </c:pivotFmt>
      <c:pivotFmt>
        <c:idx val="21"/>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pivotFmt>
      <c:pivotFmt>
        <c:idx val="23"/>
        <c:spPr>
          <a:solidFill>
            <a:schemeClr val="accent2"/>
          </a:solidFill>
          <a:ln w="19050">
            <a:noFill/>
          </a:ln>
          <a:effectLst/>
        </c:spPr>
      </c:pivotFmt>
      <c:pivotFmt>
        <c:idx val="24"/>
        <c:spPr>
          <a:solidFill>
            <a:schemeClr val="accent3"/>
          </a:solidFill>
          <a:ln w="19050">
            <a:noFill/>
          </a:ln>
          <a:effectLst/>
        </c:spPr>
      </c:pivotFmt>
      <c:pivotFmt>
        <c:idx val="2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solidFill>
            <a:schemeClr val="accent3"/>
          </a:solidFill>
          <a:ln w="19050">
            <a:noFill/>
          </a:ln>
          <a:effectLst/>
        </c:spPr>
      </c:pivotFmt>
      <c:pivotFmt>
        <c:idx val="29"/>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noFill/>
          </a:ln>
          <a:effectLst/>
        </c:spPr>
      </c:pivotFmt>
      <c:pivotFmt>
        <c:idx val="35"/>
        <c:spPr>
          <a:solidFill>
            <a:schemeClr val="accent2"/>
          </a:solidFill>
          <a:ln w="19050">
            <a:noFill/>
          </a:ln>
          <a:effectLst/>
        </c:spPr>
      </c:pivotFmt>
      <c:pivotFmt>
        <c:idx val="36"/>
        <c:spPr>
          <a:solidFill>
            <a:schemeClr val="accent3"/>
          </a:solidFill>
          <a:ln w="19050">
            <a:noFill/>
          </a:ln>
          <a:effectLst/>
        </c:spPr>
      </c:pivotFmt>
      <c:pivotFmt>
        <c:idx val="3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chemeClr val="accent3"/>
          </a:solidFill>
          <a:ln w="19050">
            <a:noFill/>
          </a:ln>
          <a:effectLst/>
        </c:spPr>
      </c:pivotFmt>
      <c:pivotFmt>
        <c:idx val="4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5"/>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6"/>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7"/>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9"/>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0"/>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2"/>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3"/>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6"/>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7"/>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8"/>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0"/>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71"/>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2"/>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7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0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0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6"/>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1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1"/>
        <c:spPr>
          <a:solidFill>
            <a:schemeClr val="accent4">
              <a:lumMod val="60000"/>
              <a:lumOff val="40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4"/>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15"/>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6"/>
        <c:spPr>
          <a:solidFill>
            <a:srgbClr val="4DBB5F"/>
          </a:solidFill>
          <a:ln w="12700">
            <a:solidFill>
              <a:schemeClr val="bg1">
                <a:lumMod val="85000"/>
                <a:alpha val="30000"/>
              </a:schemeClr>
            </a:solidFill>
          </a:ln>
          <a:effectLst/>
        </c:spPr>
        <c:dLbl>
          <c:idx val="0"/>
          <c:layout>
            <c:manualLayout>
              <c:x val="-0.1487016456803659"/>
              <c:y val="8.990084572761737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7"/>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10859870392307157"/>
          <c:y val="0.12456108255929087"/>
          <c:w val="0.68293847118667683"/>
          <c:h val="0.73937290772785125"/>
        </c:manualLayout>
      </c:layout>
      <c:doughnutChart>
        <c:varyColors val="1"/>
        <c:ser>
          <c:idx val="0"/>
          <c:order val="0"/>
          <c:tx>
            <c:strRef>
              <c:f>gas_analysis!$B$8</c:f>
              <c:strCache>
                <c:ptCount val="1"/>
                <c:pt idx="0">
                  <c:v>Total</c:v>
                </c:pt>
              </c:strCache>
            </c:strRef>
          </c:tx>
          <c:spPr>
            <a:ln w="12700">
              <a:solidFill>
                <a:schemeClr val="bg1">
                  <a:lumMod val="85000"/>
                  <a:alpha val="30000"/>
                </a:schemeClr>
              </a:solidFill>
            </a:ln>
          </c:spPr>
          <c:dPt>
            <c:idx val="0"/>
            <c:bubble3D val="0"/>
            <c:spPr>
              <a:solidFill>
                <a:schemeClr val="accent3">
                  <a:lumMod val="50000"/>
                </a:schemeClr>
              </a:solidFill>
              <a:ln w="12700">
                <a:solidFill>
                  <a:schemeClr val="bg1">
                    <a:lumMod val="85000"/>
                    <a:alpha val="30000"/>
                  </a:schemeClr>
                </a:solidFill>
              </a:ln>
              <a:effectLst/>
            </c:spPr>
            <c:extLst>
              <c:ext xmlns:c16="http://schemas.microsoft.com/office/drawing/2014/chart" uri="{C3380CC4-5D6E-409C-BE32-E72D297353CC}">
                <c16:uniqueId val="{0000000B-1A07-401B-BEE0-46C28541E6FD}"/>
              </c:ext>
            </c:extLst>
          </c:dPt>
          <c:dPt>
            <c:idx val="1"/>
            <c:bubble3D val="0"/>
            <c:spPr>
              <a:solidFill>
                <a:schemeClr val="accent6">
                  <a:lumMod val="75000"/>
                </a:schemeClr>
              </a:solidFill>
              <a:ln w="12700">
                <a:solidFill>
                  <a:schemeClr val="bg1">
                    <a:lumMod val="85000"/>
                    <a:alpha val="30000"/>
                  </a:schemeClr>
                </a:solidFill>
              </a:ln>
              <a:effectLst/>
            </c:spPr>
            <c:extLst>
              <c:ext xmlns:c16="http://schemas.microsoft.com/office/drawing/2014/chart" uri="{C3380CC4-5D6E-409C-BE32-E72D297353CC}">
                <c16:uniqueId val="{0000000D-1A07-401B-BEE0-46C28541E6FD}"/>
              </c:ext>
            </c:extLst>
          </c:dPt>
          <c:dPt>
            <c:idx val="2"/>
            <c:bubble3D val="0"/>
            <c:spPr>
              <a:solidFill>
                <a:srgbClr val="4DBB5F"/>
              </a:solidFill>
              <a:ln w="12700">
                <a:solidFill>
                  <a:schemeClr val="bg1">
                    <a:lumMod val="85000"/>
                    <a:alpha val="30000"/>
                  </a:schemeClr>
                </a:solidFill>
              </a:ln>
              <a:effectLst/>
            </c:spPr>
            <c:extLst>
              <c:ext xmlns:c16="http://schemas.microsoft.com/office/drawing/2014/chart" uri="{C3380CC4-5D6E-409C-BE32-E72D297353CC}">
                <c16:uniqueId val="{0000000F-1A07-401B-BEE0-46C28541E6FD}"/>
              </c:ext>
            </c:extLst>
          </c:dPt>
          <c:dPt>
            <c:idx val="3"/>
            <c:bubble3D val="0"/>
            <c:extLst>
              <c:ext xmlns:c16="http://schemas.microsoft.com/office/drawing/2014/chart" uri="{C3380CC4-5D6E-409C-BE32-E72D297353CC}">
                <c16:uniqueId val="{00000011-1A07-401B-BEE0-46C28541E6FD}"/>
              </c:ext>
            </c:extLst>
          </c:dPt>
          <c:dLbls>
            <c:dLbl>
              <c:idx val="0"/>
              <c:layout>
                <c:manualLayout>
                  <c:x val="0.17182423753559467"/>
                  <c:y val="-0.1006650300177995"/>
                </c:manualLayout>
              </c:layout>
              <c:showLegendKey val="0"/>
              <c:showVal val="0"/>
              <c:showCatName val="1"/>
              <c:showSerName val="0"/>
              <c:showPercent val="1"/>
              <c:showBubbleSize val="0"/>
              <c:extLst>
                <c:ext xmlns:c15="http://schemas.microsoft.com/office/drawing/2012/chart" uri="{CE6537A1-D6FC-4f65-9D91-7224C49458BB}">
                  <c15:layout>
                    <c:manualLayout>
                      <c:w val="0.16316640754300615"/>
                      <c:h val="0.14852249072314233"/>
                    </c:manualLayout>
                  </c15:layout>
                </c:ext>
                <c:ext xmlns:c16="http://schemas.microsoft.com/office/drawing/2014/chart" uri="{C3380CC4-5D6E-409C-BE32-E72D297353CC}">
                  <c16:uniqueId val="{0000000B-1A07-401B-BEE0-46C28541E6FD}"/>
                </c:ext>
              </c:extLst>
            </c:dLbl>
            <c:dLbl>
              <c:idx val="1"/>
              <c:layout>
                <c:manualLayout>
                  <c:x val="0.12389380530973451"/>
                  <c:y val="5.14909708142769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07-401B-BEE0-46C28541E6FD}"/>
                </c:ext>
              </c:extLst>
            </c:dLbl>
            <c:dLbl>
              <c:idx val="2"/>
              <c:layout>
                <c:manualLayout>
                  <c:x val="-0.1487016456803659"/>
                  <c:y val="8.99008457276173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07-401B-BEE0-46C28541E6FD}"/>
                </c:ext>
              </c:extLst>
            </c:dLbl>
            <c:dLbl>
              <c:idx val="3"/>
              <c:layout>
                <c:manualLayout>
                  <c:x val="-0.11500353857041758"/>
                  <c:y val="-9.0996168582375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1A07-401B-BEE0-46C28541E6FD}"/>
                </c:ext>
              </c:extLst>
            </c:dLbl>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rnd">
                  <a:solidFill>
                    <a:schemeClr val="tx1">
                      <a:lumMod val="65000"/>
                      <a:lumOff val="35000"/>
                    </a:schemeClr>
                  </a:solidFill>
                  <a:headEnd type="oval" w="sm" len="sm"/>
                </a:ln>
              </c:spPr>
            </c:leaderLines>
            <c:extLst>
              <c:ext xmlns:c15="http://schemas.microsoft.com/office/drawing/2012/chart" uri="{CE6537A1-D6FC-4f65-9D91-7224C49458BB}">
                <c15:spPr xmlns:c15="http://schemas.microsoft.com/office/drawing/2012/chart">
                  <a:prstGeom prst="wedgeRectCallout">
                    <a:avLst/>
                  </a:prstGeom>
                </c15:spPr>
              </c:ext>
            </c:extLst>
          </c:dLbls>
          <c:cat>
            <c:strRef>
              <c:f>gas_analysis!$A$9:$A$12</c:f>
              <c:strCache>
                <c:ptCount val="4"/>
                <c:pt idx="0">
                  <c:v>2016</c:v>
                </c:pt>
                <c:pt idx="1">
                  <c:v>2017</c:v>
                </c:pt>
                <c:pt idx="2">
                  <c:v>2018</c:v>
                </c:pt>
                <c:pt idx="3">
                  <c:v>2019</c:v>
                </c:pt>
              </c:strCache>
            </c:strRef>
          </c:cat>
          <c:val>
            <c:numRef>
              <c:f>gas_analysis!$B$9:$B$12</c:f>
              <c:numCache>
                <c:formatCode>General</c:formatCode>
                <c:ptCount val="4"/>
                <c:pt idx="0">
                  <c:v>504523</c:v>
                </c:pt>
                <c:pt idx="1">
                  <c:v>595505</c:v>
                </c:pt>
                <c:pt idx="2">
                  <c:v>682566</c:v>
                </c:pt>
                <c:pt idx="3">
                  <c:v>770494</c:v>
                </c:pt>
              </c:numCache>
            </c:numRef>
          </c:val>
          <c:extLst>
            <c:ext xmlns:c16="http://schemas.microsoft.com/office/drawing/2014/chart" uri="{C3380CC4-5D6E-409C-BE32-E72D297353CC}">
              <c16:uniqueId val="{00000012-1A07-401B-BEE0-46C28541E6FD}"/>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Dashboard.xlsx]gas_analysis!year cost</c:name>
    <c:fmtId val="1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noFill/>
          </a:ln>
          <a:effectLst/>
        </c:spPr>
      </c:pivotFmt>
      <c:pivotFmt>
        <c:idx val="19"/>
        <c:spPr>
          <a:solidFill>
            <a:schemeClr val="accent2"/>
          </a:solidFill>
          <a:ln w="19050">
            <a:noFill/>
          </a:ln>
          <a:effectLst/>
        </c:spPr>
      </c:pivotFmt>
      <c:pivotFmt>
        <c:idx val="20"/>
        <c:spPr>
          <a:solidFill>
            <a:schemeClr val="accent3"/>
          </a:solidFill>
          <a:ln w="19050">
            <a:noFill/>
          </a:ln>
          <a:effectLst/>
        </c:spPr>
      </c:pivotFmt>
      <c:pivotFmt>
        <c:idx val="21"/>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pivotFmt>
      <c:pivotFmt>
        <c:idx val="23"/>
        <c:spPr>
          <a:solidFill>
            <a:schemeClr val="accent2"/>
          </a:solidFill>
          <a:ln w="19050">
            <a:noFill/>
          </a:ln>
          <a:effectLst/>
        </c:spPr>
      </c:pivotFmt>
      <c:pivotFmt>
        <c:idx val="24"/>
        <c:spPr>
          <a:solidFill>
            <a:schemeClr val="accent3"/>
          </a:solidFill>
          <a:ln w="19050">
            <a:noFill/>
          </a:ln>
          <a:effectLst/>
        </c:spPr>
      </c:pivotFmt>
      <c:pivotFmt>
        <c:idx val="2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solidFill>
            <a:schemeClr val="accent3"/>
          </a:solidFill>
          <a:ln w="19050">
            <a:noFill/>
          </a:ln>
          <a:effectLst/>
        </c:spPr>
      </c:pivotFmt>
      <c:pivotFmt>
        <c:idx val="29"/>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noFill/>
          </a:ln>
          <a:effectLst/>
        </c:spPr>
      </c:pivotFmt>
      <c:pivotFmt>
        <c:idx val="35"/>
        <c:spPr>
          <a:solidFill>
            <a:schemeClr val="accent2"/>
          </a:solidFill>
          <a:ln w="19050">
            <a:noFill/>
          </a:ln>
          <a:effectLst/>
        </c:spPr>
      </c:pivotFmt>
      <c:pivotFmt>
        <c:idx val="36"/>
        <c:spPr>
          <a:solidFill>
            <a:schemeClr val="accent3"/>
          </a:solidFill>
          <a:ln w="19050">
            <a:noFill/>
          </a:ln>
          <a:effectLst/>
        </c:spPr>
      </c:pivotFmt>
      <c:pivotFmt>
        <c:idx val="37"/>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chemeClr val="accent3"/>
          </a:solidFill>
          <a:ln w="19050">
            <a:noFill/>
          </a:ln>
          <a:effectLst/>
        </c:spPr>
      </c:pivotFmt>
      <c:pivotFmt>
        <c:idx val="4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solidFill>
            <a:srgbClr val="1B2559"/>
          </a:solidFill>
          <a:ln w="12700">
            <a:solidFill>
              <a:schemeClr val="bg1">
                <a:lumMod val="85000"/>
                <a:alpha val="30000"/>
              </a:schemeClr>
            </a:solidFill>
          </a:ln>
          <a:effectLst/>
        </c:spPr>
        <c:dLbl>
          <c:idx val="0"/>
          <c:layout>
            <c:manualLayout>
              <c:x val="0.20058997050147503"/>
              <c:y val="-8.869181665515925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rgbClr val="00B0F0"/>
          </a:solidFill>
          <a:ln w="12700">
            <a:solidFill>
              <a:schemeClr val="bg1">
                <a:lumMod val="85000"/>
                <a:alpha val="30000"/>
              </a:schemeClr>
            </a:solidFill>
          </a:ln>
          <a:effectLst/>
        </c:spPr>
        <c:dLbl>
          <c:idx val="0"/>
          <c:layout>
            <c:manualLayout>
              <c:x val="0.17699115044247787"/>
              <c:y val="9.460460443216973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rgbClr val="FF4500"/>
          </a:solidFill>
          <a:ln w="12700">
            <a:solidFill>
              <a:schemeClr val="bg1">
                <a:lumMod val="85000"/>
                <a:alpha val="30000"/>
              </a:schemeClr>
            </a:solidFill>
          </a:ln>
          <a:effectLst/>
        </c:spPr>
        <c:dLbl>
          <c:idx val="0"/>
          <c:layout>
            <c:manualLayout>
              <c:x val="-0.13569321533923304"/>
              <c:y val="-0.2128603599723821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5"/>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6"/>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7"/>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59"/>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0"/>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1"/>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2"/>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3"/>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5"/>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6"/>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67"/>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8"/>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9"/>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0"/>
        <c:spPr>
          <a:solidFill>
            <a:schemeClr val="bg1">
              <a:lumMod val="85000"/>
            </a:schemeClr>
          </a:solidFill>
          <a:ln w="12700">
            <a:solidFill>
              <a:schemeClr val="bg1">
                <a:lumMod val="85000"/>
                <a:alpha val="30000"/>
              </a:schemeClr>
            </a:solidFill>
          </a:ln>
          <a:effectLst/>
        </c:spPr>
        <c:dLbl>
          <c:idx val="0"/>
          <c:layout>
            <c:manualLayout>
              <c:x val="0.15855445613546093"/>
              <c:y val="-8.869178179074921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393770468956868"/>
                  <c:h val="0.19162581922768637"/>
                </c:manualLayout>
              </c15:layout>
            </c:ext>
          </c:extLst>
        </c:dLbl>
      </c:pivotFmt>
      <c:pivotFmt>
        <c:idx val="71"/>
        <c:spPr>
          <a:solidFill>
            <a:schemeClr val="bg1">
              <a:lumMod val="6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2"/>
        <c:spPr>
          <a:solidFill>
            <a:schemeClr val="tx1">
              <a:lumMod val="75000"/>
              <a:lumOff val="25000"/>
            </a:schemeClr>
          </a:solidFill>
          <a:ln w="12700">
            <a:solidFill>
              <a:schemeClr val="bg1">
                <a:lumMod val="85000"/>
                <a:alpha val="30000"/>
              </a:schemeClr>
            </a:solidFill>
          </a:ln>
          <a:effectLst/>
        </c:spPr>
        <c:dLbl>
          <c:idx val="0"/>
          <c:layout>
            <c:manualLayout>
              <c:x val="-0.10914465890878684"/>
              <c:y val="0.1176787212975622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7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6"/>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1"/>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8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6"/>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9"/>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0"/>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1"/>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2"/>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3"/>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4"/>
        <c:spPr>
          <a:solidFill>
            <a:srgbClr val="002060"/>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95"/>
        <c:spPr>
          <a:solidFill>
            <a:schemeClr val="accent4">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6"/>
        <c:spPr>
          <a:solidFill>
            <a:schemeClr val="accent4">
              <a:lumMod val="60000"/>
              <a:lumOff val="40000"/>
            </a:schemeClr>
          </a:solidFill>
          <a:ln w="12700">
            <a:solidFill>
              <a:schemeClr val="bg1">
                <a:lumMod val="85000"/>
                <a:alpha val="30000"/>
              </a:schemeClr>
            </a:solidFill>
          </a:ln>
          <a:effectLst/>
        </c:spPr>
        <c:dLbl>
          <c:idx val="0"/>
          <c:layout>
            <c:manualLayout>
              <c:x val="-0.17549289221012979"/>
              <c:y val="6.0207560261863816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7"/>
        <c:spPr>
          <a:solidFill>
            <a:schemeClr val="accent4">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8"/>
        <c:spPr>
          <a:ln w="12700">
            <a:solidFill>
              <a:schemeClr val="bg1">
                <a:lumMod val="85000"/>
                <a:alpha val="30000"/>
              </a:schemeClr>
            </a:solidFill>
          </a:ln>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9"/>
        <c:spPr>
          <a:solidFill>
            <a:schemeClr val="accent3">
              <a:lumMod val="50000"/>
            </a:schemeClr>
          </a:solidFill>
          <a:ln w="12700">
            <a:solidFill>
              <a:schemeClr val="bg1">
                <a:lumMod val="85000"/>
                <a:alpha val="30000"/>
              </a:schemeClr>
            </a:solidFill>
          </a:ln>
          <a:effectLst/>
        </c:spPr>
        <c:dLbl>
          <c:idx val="0"/>
          <c:layout>
            <c:manualLayout>
              <c:x val="0.17182423753559467"/>
              <c:y val="-0.1006650300177995"/>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316640754300615"/>
                  <c:h val="0.14852249072314233"/>
                </c:manualLayout>
              </c15:layout>
            </c:ext>
          </c:extLst>
        </c:dLbl>
      </c:pivotFmt>
      <c:pivotFmt>
        <c:idx val="100"/>
        <c:spPr>
          <a:solidFill>
            <a:schemeClr val="accent6">
              <a:lumMod val="75000"/>
            </a:schemeClr>
          </a:solidFill>
          <a:ln w="12700">
            <a:solidFill>
              <a:schemeClr val="bg1">
                <a:lumMod val="85000"/>
                <a:alpha val="30000"/>
              </a:schemeClr>
            </a:solidFill>
          </a:ln>
          <a:effectLst/>
        </c:spPr>
        <c:dLbl>
          <c:idx val="0"/>
          <c:layout>
            <c:manualLayout>
              <c:x val="0.12389380530973451"/>
              <c:y val="5.1490970814276955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1"/>
        <c:spPr>
          <a:solidFill>
            <a:srgbClr val="4DBB5F"/>
          </a:solidFill>
          <a:ln w="12700">
            <a:solidFill>
              <a:schemeClr val="bg1">
                <a:lumMod val="85000"/>
                <a:alpha val="30000"/>
              </a:schemeClr>
            </a:solidFill>
          </a:ln>
          <a:effectLst/>
        </c:spPr>
        <c:dLbl>
          <c:idx val="0"/>
          <c:layout>
            <c:manualLayout>
              <c:x val="-0.22857144847339941"/>
              <c:y val="4.5839744169909796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2"/>
        <c:spPr>
          <a:solidFill>
            <a:schemeClr val="accent3">
              <a:lumMod val="20000"/>
              <a:lumOff val="80000"/>
            </a:schemeClr>
          </a:solidFill>
          <a:ln w="12700">
            <a:solidFill>
              <a:schemeClr val="bg1">
                <a:lumMod val="85000"/>
                <a:alpha val="30000"/>
              </a:schemeClr>
            </a:solidFill>
          </a:ln>
        </c:spPr>
        <c:dLbl>
          <c:idx val="0"/>
          <c:layout>
            <c:manualLayout>
              <c:x val="-0.11500353857041758"/>
              <c:y val="-9.0996168582375497E-2"/>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10859870392307157"/>
          <c:y val="0.12456108255929087"/>
          <c:w val="0.68293847118667683"/>
          <c:h val="0.73937290772785125"/>
        </c:manualLayout>
      </c:layout>
      <c:doughnutChart>
        <c:varyColors val="1"/>
        <c:ser>
          <c:idx val="0"/>
          <c:order val="0"/>
          <c:tx>
            <c:strRef>
              <c:f>gas_analysis!$E$8</c:f>
              <c:strCache>
                <c:ptCount val="1"/>
                <c:pt idx="0">
                  <c:v>Total</c:v>
                </c:pt>
              </c:strCache>
            </c:strRef>
          </c:tx>
          <c:spPr>
            <a:ln w="12700">
              <a:solidFill>
                <a:schemeClr val="bg1">
                  <a:lumMod val="85000"/>
                  <a:alpha val="30000"/>
                </a:schemeClr>
              </a:solidFill>
            </a:ln>
          </c:spPr>
          <c:dPt>
            <c:idx val="0"/>
            <c:bubble3D val="0"/>
            <c:spPr>
              <a:solidFill>
                <a:schemeClr val="accent3">
                  <a:lumMod val="50000"/>
                </a:schemeClr>
              </a:solidFill>
              <a:ln w="12700">
                <a:solidFill>
                  <a:schemeClr val="bg1">
                    <a:lumMod val="85000"/>
                    <a:alpha val="30000"/>
                  </a:schemeClr>
                </a:solidFill>
              </a:ln>
              <a:effectLst/>
            </c:spPr>
            <c:extLst>
              <c:ext xmlns:c16="http://schemas.microsoft.com/office/drawing/2014/chart" uri="{C3380CC4-5D6E-409C-BE32-E72D297353CC}">
                <c16:uniqueId val="{0000000B-91E0-452D-869C-B7EFA629E120}"/>
              </c:ext>
            </c:extLst>
          </c:dPt>
          <c:dPt>
            <c:idx val="1"/>
            <c:bubble3D val="0"/>
            <c:spPr>
              <a:solidFill>
                <a:schemeClr val="accent6">
                  <a:lumMod val="75000"/>
                </a:schemeClr>
              </a:solidFill>
              <a:ln w="12700">
                <a:solidFill>
                  <a:schemeClr val="bg1">
                    <a:lumMod val="85000"/>
                    <a:alpha val="30000"/>
                  </a:schemeClr>
                </a:solidFill>
              </a:ln>
              <a:effectLst/>
            </c:spPr>
            <c:extLst>
              <c:ext xmlns:c16="http://schemas.microsoft.com/office/drawing/2014/chart" uri="{C3380CC4-5D6E-409C-BE32-E72D297353CC}">
                <c16:uniqueId val="{0000000D-91E0-452D-869C-B7EFA629E120}"/>
              </c:ext>
            </c:extLst>
          </c:dPt>
          <c:dPt>
            <c:idx val="2"/>
            <c:bubble3D val="0"/>
            <c:spPr>
              <a:solidFill>
                <a:srgbClr val="4DBB5F"/>
              </a:solidFill>
              <a:ln w="12700">
                <a:solidFill>
                  <a:schemeClr val="bg1">
                    <a:lumMod val="85000"/>
                    <a:alpha val="30000"/>
                  </a:schemeClr>
                </a:solidFill>
              </a:ln>
              <a:effectLst/>
            </c:spPr>
            <c:extLst>
              <c:ext xmlns:c16="http://schemas.microsoft.com/office/drawing/2014/chart" uri="{C3380CC4-5D6E-409C-BE32-E72D297353CC}">
                <c16:uniqueId val="{0000000F-91E0-452D-869C-B7EFA629E120}"/>
              </c:ext>
            </c:extLst>
          </c:dPt>
          <c:dPt>
            <c:idx val="3"/>
            <c:bubble3D val="0"/>
            <c:spPr>
              <a:solidFill>
                <a:schemeClr val="accent3">
                  <a:lumMod val="20000"/>
                  <a:lumOff val="80000"/>
                </a:schemeClr>
              </a:solidFill>
              <a:ln w="12700">
                <a:solidFill>
                  <a:schemeClr val="bg1">
                    <a:lumMod val="85000"/>
                    <a:alpha val="30000"/>
                  </a:schemeClr>
                </a:solidFill>
              </a:ln>
            </c:spPr>
            <c:extLst>
              <c:ext xmlns:c16="http://schemas.microsoft.com/office/drawing/2014/chart" uri="{C3380CC4-5D6E-409C-BE32-E72D297353CC}">
                <c16:uniqueId val="{00000011-91E0-452D-869C-B7EFA629E120}"/>
              </c:ext>
            </c:extLst>
          </c:dPt>
          <c:dLbls>
            <c:dLbl>
              <c:idx val="0"/>
              <c:layout>
                <c:manualLayout>
                  <c:x val="0.17182423753559467"/>
                  <c:y val="-0.1006650300177995"/>
                </c:manualLayout>
              </c:layout>
              <c:showLegendKey val="0"/>
              <c:showVal val="0"/>
              <c:showCatName val="1"/>
              <c:showSerName val="0"/>
              <c:showPercent val="1"/>
              <c:showBubbleSize val="0"/>
              <c:extLst>
                <c:ext xmlns:c15="http://schemas.microsoft.com/office/drawing/2012/chart" uri="{CE6537A1-D6FC-4f65-9D91-7224C49458BB}">
                  <c15:layout>
                    <c:manualLayout>
                      <c:w val="0.16316640754300615"/>
                      <c:h val="0.14852249072314233"/>
                    </c:manualLayout>
                  </c15:layout>
                </c:ext>
                <c:ext xmlns:c16="http://schemas.microsoft.com/office/drawing/2014/chart" uri="{C3380CC4-5D6E-409C-BE32-E72D297353CC}">
                  <c16:uniqueId val="{0000000B-91E0-452D-869C-B7EFA629E120}"/>
                </c:ext>
              </c:extLst>
            </c:dLbl>
            <c:dLbl>
              <c:idx val="1"/>
              <c:layout>
                <c:manualLayout>
                  <c:x val="0.12389380530973451"/>
                  <c:y val="5.14909708142769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1E0-452D-869C-B7EFA629E120}"/>
                </c:ext>
              </c:extLst>
            </c:dLbl>
            <c:dLbl>
              <c:idx val="2"/>
              <c:layout>
                <c:manualLayout>
                  <c:x val="-0.22857144847339941"/>
                  <c:y val="4.58397441699097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91E0-452D-869C-B7EFA629E120}"/>
                </c:ext>
              </c:extLst>
            </c:dLbl>
            <c:dLbl>
              <c:idx val="3"/>
              <c:layout>
                <c:manualLayout>
                  <c:x val="-0.11500353857041758"/>
                  <c:y val="-9.0996168582375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91E0-452D-869C-B7EFA629E120}"/>
                </c:ext>
              </c:extLst>
            </c:dLbl>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rnd">
                  <a:solidFill>
                    <a:schemeClr val="tx1">
                      <a:lumMod val="65000"/>
                      <a:lumOff val="35000"/>
                    </a:schemeClr>
                  </a:solidFill>
                  <a:headEnd type="oval" w="sm" len="sm"/>
                </a:ln>
              </c:spPr>
            </c:leaderLines>
            <c:extLst>
              <c:ext xmlns:c15="http://schemas.microsoft.com/office/drawing/2012/chart" uri="{CE6537A1-D6FC-4f65-9D91-7224C49458BB}">
                <c15:spPr xmlns:c15="http://schemas.microsoft.com/office/drawing/2012/chart">
                  <a:prstGeom prst="wedgeRectCallout">
                    <a:avLst/>
                  </a:prstGeom>
                </c15:spPr>
              </c:ext>
            </c:extLst>
          </c:dLbls>
          <c:cat>
            <c:strRef>
              <c:f>gas_analysis!$D$9:$D$12</c:f>
              <c:strCache>
                <c:ptCount val="4"/>
                <c:pt idx="0">
                  <c:v>2016</c:v>
                </c:pt>
                <c:pt idx="1">
                  <c:v>2017</c:v>
                </c:pt>
                <c:pt idx="2">
                  <c:v>2018</c:v>
                </c:pt>
                <c:pt idx="3">
                  <c:v>2019</c:v>
                </c:pt>
              </c:strCache>
            </c:strRef>
          </c:cat>
          <c:val>
            <c:numRef>
              <c:f>gas_analysis!$E$9:$E$12</c:f>
              <c:numCache>
                <c:formatCode>\$#,##0.00;\(\$#,##0.00\);\$#,##0.00</c:formatCode>
                <c:ptCount val="4"/>
                <c:pt idx="0">
                  <c:v>504523</c:v>
                </c:pt>
                <c:pt idx="1">
                  <c:v>655055.5</c:v>
                </c:pt>
                <c:pt idx="2">
                  <c:v>825904.86</c:v>
                </c:pt>
                <c:pt idx="3">
                  <c:v>1025527.514</c:v>
                </c:pt>
              </c:numCache>
            </c:numRef>
          </c:val>
          <c:extLst>
            <c:ext xmlns:c16="http://schemas.microsoft.com/office/drawing/2014/chart" uri="{C3380CC4-5D6E-409C-BE32-E72D297353CC}">
              <c16:uniqueId val="{00000012-91E0-452D-869C-B7EFA629E120}"/>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Dashboard.xlsx]gas_analysis!month cons</c:name>
    <c:fmtId val="12"/>
  </c:pivotSource>
  <c:chart>
    <c:title>
      <c:tx>
        <c:rich>
          <a:bodyPr/>
          <a:lstStyle/>
          <a:p>
            <a:pPr>
              <a:defRPr sz="1400" b="1">
                <a:solidFill>
                  <a:schemeClr val="tx1"/>
                </a:solidFill>
                <a:latin typeface="Aptos Narrow (Body)"/>
              </a:defRPr>
            </a:pPr>
            <a:r>
              <a:rPr lang="en-US" sz="1400" b="1">
                <a:solidFill>
                  <a:schemeClr val="tx1"/>
                </a:solidFill>
                <a:latin typeface="Aptos Narrow (Body)"/>
              </a:rPr>
              <a:t>Monthly</a:t>
            </a:r>
            <a:r>
              <a:rPr lang="en-US" sz="1400" b="1" baseline="0">
                <a:solidFill>
                  <a:schemeClr val="tx1"/>
                </a:solidFill>
                <a:latin typeface="Aptos Narrow (Body)"/>
              </a:rPr>
              <a:t> Gas Flow</a:t>
            </a:r>
            <a:endParaRPr lang="en-US" sz="1400" b="1">
              <a:solidFill>
                <a:schemeClr val="tx1"/>
              </a:solidFill>
              <a:latin typeface="Aptos Narrow (Body)"/>
            </a:endParaRP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6"/>
      </c:pivotFmt>
      <c:pivotFmt>
        <c:idx val="17"/>
      </c:pivotFmt>
      <c:pivotFmt>
        <c:idx val="18"/>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0"/>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1"/>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2"/>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3"/>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4"/>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5"/>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6"/>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7"/>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8"/>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9"/>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0"/>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1"/>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2"/>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3"/>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
        <c:idx val="34"/>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gas_analysis!$H$6</c:f>
              <c:strCache>
                <c:ptCount val="1"/>
                <c:pt idx="0">
                  <c:v>Total</c:v>
                </c:pt>
              </c:strCache>
            </c:strRef>
          </c:tx>
          <c:spPr>
            <a:ln w="28575" cap="rnd">
              <a:solidFill>
                <a:schemeClr val="accent3">
                  <a:lumMod val="50000"/>
                </a:schemeClr>
              </a:solidFill>
              <a:round/>
            </a:ln>
            <a:effectLst/>
          </c:spPr>
          <c:marker>
            <c:symbol val="circle"/>
            <c:size val="7"/>
            <c:spPr>
              <a:solidFill>
                <a:schemeClr val="tx1"/>
              </a:solidFill>
              <a:ln>
                <a:solidFill>
                  <a:schemeClr val="bg1">
                    <a:lumMod val="95000"/>
                  </a:schemeClr>
                </a:solidFill>
              </a:ln>
            </c:spPr>
          </c:marker>
          <c:cat>
            <c:strRef>
              <c:f>gas_analysis!$G$7:$G$18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gas_analysis!$H$7:$H$18</c:f>
              <c:numCache>
                <c:formatCode>General</c:formatCode>
                <c:ptCount val="12"/>
                <c:pt idx="0">
                  <c:v>193320</c:v>
                </c:pt>
                <c:pt idx="1">
                  <c:v>209432</c:v>
                </c:pt>
                <c:pt idx="2">
                  <c:v>201204</c:v>
                </c:pt>
                <c:pt idx="3">
                  <c:v>206495</c:v>
                </c:pt>
                <c:pt idx="4">
                  <c:v>217798</c:v>
                </c:pt>
                <c:pt idx="5">
                  <c:v>216891</c:v>
                </c:pt>
                <c:pt idx="6">
                  <c:v>227956</c:v>
                </c:pt>
                <c:pt idx="7">
                  <c:v>201991</c:v>
                </c:pt>
                <c:pt idx="8">
                  <c:v>226466</c:v>
                </c:pt>
                <c:pt idx="9">
                  <c:v>221482</c:v>
                </c:pt>
                <c:pt idx="10">
                  <c:v>216712</c:v>
                </c:pt>
                <c:pt idx="11">
                  <c:v>213341</c:v>
                </c:pt>
              </c:numCache>
            </c:numRef>
          </c:val>
          <c:smooth val="1"/>
          <c:extLst>
            <c:ext xmlns:c16="http://schemas.microsoft.com/office/drawing/2014/chart" uri="{C3380CC4-5D6E-409C-BE32-E72D297353CC}">
              <c16:uniqueId val="{00000000-D561-4257-A514-0B862080498E}"/>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w="13970">
              <a:solidFill>
                <a:schemeClr val="tx1">
                  <a:lumMod val="50000"/>
                  <a:lumOff val="50000"/>
                </a:schemeClr>
              </a:solidFill>
              <a:prstDash val="dashDot"/>
            </a:ln>
          </c:spPr>
        </c:majorGridlines>
        <c:numFmt formatCode="[&gt;=1000000]0,,&quot;M m³&quot;;[&gt;=1000]0,&quot;k m³&quot;;0&quot; m³&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8563934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Dashboard.xlsx]gas_analysis!month cost</c:name>
    <c:fmtId val="12"/>
  </c:pivotSource>
  <c:chart>
    <c:title>
      <c:tx>
        <c:rich>
          <a:bodyPr/>
          <a:lstStyle/>
          <a:p>
            <a:pPr>
              <a:defRPr sz="1400" b="1">
                <a:solidFill>
                  <a:schemeClr val="tx1"/>
                </a:solidFill>
                <a:latin typeface="Aptos Narrow (Body)"/>
              </a:defRPr>
            </a:pPr>
            <a:r>
              <a:rPr lang="en-US" sz="1400" b="1">
                <a:solidFill>
                  <a:schemeClr val="tx1"/>
                </a:solidFill>
                <a:latin typeface="Aptos Narrow (Body)"/>
              </a:rPr>
              <a:t>Monthly Gas Total</a:t>
            </a:r>
            <a:r>
              <a:rPr lang="en-US" sz="1400" b="1" baseline="0">
                <a:solidFill>
                  <a:schemeClr val="tx1"/>
                </a:solidFill>
                <a:latin typeface="Aptos Narrow (Body)"/>
              </a:rPr>
              <a:t> Bills</a:t>
            </a:r>
            <a:endParaRPr lang="en-US" sz="1400" b="1">
              <a:solidFill>
                <a:schemeClr val="tx1"/>
              </a:solidFill>
              <a:latin typeface="Aptos Narrow (Body)"/>
            </a:endParaRP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6"/>
      </c:pivotFmt>
      <c:pivotFmt>
        <c:idx val="17"/>
      </c:pivotFmt>
      <c:pivotFmt>
        <c:idx val="18"/>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A60000"/>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0"/>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1"/>
        <c:spPr>
          <a:ln w="28575" cap="rnd">
            <a:solidFill>
              <a:schemeClr val="tx1"/>
            </a:solidFill>
            <a:round/>
          </a:ln>
          <a:effectLst/>
        </c:spPr>
        <c:marker>
          <c:symbol val="circle"/>
          <c:size val="7"/>
          <c:spPr>
            <a:solidFill>
              <a:schemeClr val="tx1">
                <a:lumMod val="85000"/>
                <a:lumOff val="15000"/>
              </a:schemeClr>
            </a:solidFill>
            <a:ln>
              <a:solidFill>
                <a:schemeClr val="bg1"/>
              </a:solidFill>
            </a:ln>
          </c:spPr>
        </c:marker>
        <c:dLbl>
          <c:idx val="0"/>
          <c:delete val="1"/>
          <c:extLst>
            <c:ext xmlns:c15="http://schemas.microsoft.com/office/drawing/2012/chart" uri="{CE6537A1-D6FC-4f65-9D91-7224C49458BB}"/>
          </c:extLst>
        </c:dLbl>
      </c:pivotFmt>
      <c:pivotFmt>
        <c:idx val="22"/>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3"/>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4"/>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5"/>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6"/>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7"/>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8"/>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29"/>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30"/>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31"/>
        <c:spPr>
          <a:ln w="28575" cap="rnd">
            <a:solidFill>
              <a:schemeClr val="bg1">
                <a:lumMod val="85000"/>
              </a:schemeClr>
            </a:solidFill>
            <a:round/>
          </a:ln>
          <a:effectLst/>
        </c:spPr>
        <c:marker>
          <c:symbol val="circle"/>
          <c:size val="7"/>
          <c:spPr>
            <a:solidFill>
              <a:srgbClr val="00B0F0"/>
            </a:solidFill>
            <a:ln>
              <a:solidFill>
                <a:schemeClr val="tx1"/>
              </a:solidFill>
            </a:ln>
          </c:spPr>
        </c:marker>
        <c:dLbl>
          <c:idx val="0"/>
          <c:delete val="1"/>
          <c:extLst>
            <c:ext xmlns:c15="http://schemas.microsoft.com/office/drawing/2012/chart" uri="{CE6537A1-D6FC-4f65-9D91-7224C49458BB}"/>
          </c:extLst>
        </c:dLbl>
      </c:pivotFmt>
      <c:pivotFmt>
        <c:idx val="32"/>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3"/>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4"/>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5"/>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6"/>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
        <c:idx val="37"/>
        <c:spPr>
          <a:ln w="28575" cap="rnd">
            <a:solidFill>
              <a:schemeClr val="accent3">
                <a:lumMod val="50000"/>
              </a:schemeClr>
            </a:solidFill>
            <a:round/>
          </a:ln>
          <a:effectLst/>
        </c:spPr>
        <c:marker>
          <c:symbol val="circle"/>
          <c:size val="7"/>
          <c:spPr>
            <a:solidFill>
              <a:schemeClr val="tx1"/>
            </a:solidFill>
            <a:ln>
              <a:solidFill>
                <a:schemeClr val="bg1"/>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gas_analysis!$K$6</c:f>
              <c:strCache>
                <c:ptCount val="1"/>
                <c:pt idx="0">
                  <c:v>Total</c:v>
                </c:pt>
              </c:strCache>
            </c:strRef>
          </c:tx>
          <c:spPr>
            <a:ln w="28575" cap="rnd">
              <a:solidFill>
                <a:schemeClr val="accent3">
                  <a:lumMod val="50000"/>
                </a:schemeClr>
              </a:solidFill>
              <a:round/>
            </a:ln>
            <a:effectLst/>
          </c:spPr>
          <c:marker>
            <c:symbol val="circle"/>
            <c:size val="7"/>
            <c:spPr>
              <a:solidFill>
                <a:schemeClr val="tx1"/>
              </a:solidFill>
              <a:ln>
                <a:solidFill>
                  <a:schemeClr val="bg1"/>
                </a:solidFill>
              </a:ln>
            </c:spPr>
          </c:marker>
          <c:cat>
            <c:strRef>
              <c:f>gas_analysis!$J$7:$J$18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gas_analysis!$K$7:$K$18</c:f>
              <c:numCache>
                <c:formatCode>\$#,##0.00;\(\$#,##0.00\);\$#,##0.00</c:formatCode>
                <c:ptCount val="12"/>
                <c:pt idx="0">
                  <c:v>228598.92600000001</c:v>
                </c:pt>
                <c:pt idx="1">
                  <c:v>246275.55900000001</c:v>
                </c:pt>
                <c:pt idx="2">
                  <c:v>238519.05300000001</c:v>
                </c:pt>
                <c:pt idx="3">
                  <c:v>243207.77799999999</c:v>
                </c:pt>
                <c:pt idx="4">
                  <c:v>256016.7</c:v>
                </c:pt>
                <c:pt idx="5">
                  <c:v>256202.85699999999</c:v>
                </c:pt>
                <c:pt idx="6">
                  <c:v>269084.31099999999</c:v>
                </c:pt>
                <c:pt idx="7">
                  <c:v>238773.321</c:v>
                </c:pt>
                <c:pt idx="8">
                  <c:v>267665.48700000002</c:v>
                </c:pt>
                <c:pt idx="9">
                  <c:v>261022.427</c:v>
                </c:pt>
                <c:pt idx="10">
                  <c:v>255409.09400000001</c:v>
                </c:pt>
                <c:pt idx="11">
                  <c:v>250235.361</c:v>
                </c:pt>
              </c:numCache>
            </c:numRef>
          </c:val>
          <c:smooth val="1"/>
          <c:extLst>
            <c:ext xmlns:c16="http://schemas.microsoft.com/office/drawing/2014/chart" uri="{C3380CC4-5D6E-409C-BE32-E72D297353CC}">
              <c16:uniqueId val="{00000000-20AE-4D0B-834A-8AE16F2924A7}"/>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w="13970">
              <a:solidFill>
                <a:schemeClr val="tx1">
                  <a:lumMod val="50000"/>
                  <a:lumOff val="50000"/>
                </a:schemeClr>
              </a:solidFill>
              <a:prstDash val="dashDot"/>
            </a:ln>
          </c:spPr>
        </c:majorGridlines>
        <c:numFmt formatCode="[&gt;=1000000]&quot;$&quot;0,,&quot; M&quot;;[&gt;=1000]&quot;$&quot;0,&quot; K&quot;;&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8563934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Dashboard.xlsx]gas_analysis!PivotTable28</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Building Gas Load</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1C54"/>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E39"/>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E39"/>
          </a:solidFill>
          <a:ln w="12700">
            <a:noFill/>
          </a:ln>
          <a:effectLst/>
        </c:spPr>
        <c:marker>
          <c:symbol val="none"/>
        </c:marker>
        <c:dLbl>
          <c:idx val="0"/>
          <c:numFmt formatCode="[&gt;=1000000]0,,&quot;M m³&quot;;[&gt;=1000]0,&quot;k m³&quot;;0&quot; m³&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gas_analysis!$B$19</c:f>
              <c:strCache>
                <c:ptCount val="1"/>
                <c:pt idx="0">
                  <c:v>Total</c:v>
                </c:pt>
              </c:strCache>
            </c:strRef>
          </c:tx>
          <c:spPr>
            <a:solidFill>
              <a:srgbClr val="007E39"/>
            </a:solidFill>
            <a:ln w="12700">
              <a:noFill/>
            </a:ln>
            <a:effectLst/>
          </c:spPr>
          <c:invertIfNegative val="0"/>
          <c:dLbls>
            <c:numFmt formatCode="[&gt;=1000000]0,,&quot;M m³&quot;;[&gt;=1000]0,&quot;k m³&quot;;0&quot; m³&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gas_analysis!$A$20:$A$24</c:f>
              <c:strCache>
                <c:ptCount val="5"/>
                <c:pt idx="0">
                  <c:v>B1002</c:v>
                </c:pt>
                <c:pt idx="1">
                  <c:v>B1001</c:v>
                </c:pt>
                <c:pt idx="2">
                  <c:v>B1008</c:v>
                </c:pt>
                <c:pt idx="3">
                  <c:v>B1000</c:v>
                </c:pt>
                <c:pt idx="4">
                  <c:v>B1004</c:v>
                </c:pt>
              </c:strCache>
            </c:strRef>
          </c:cat>
          <c:val>
            <c:numRef>
              <c:f>gas_analysis!$B$20:$B$24</c:f>
              <c:numCache>
                <c:formatCode>General</c:formatCode>
                <c:ptCount val="5"/>
                <c:pt idx="0">
                  <c:v>233902</c:v>
                </c:pt>
                <c:pt idx="1">
                  <c:v>237083</c:v>
                </c:pt>
                <c:pt idx="2">
                  <c:v>237790</c:v>
                </c:pt>
                <c:pt idx="3">
                  <c:v>238953</c:v>
                </c:pt>
                <c:pt idx="4">
                  <c:v>243603</c:v>
                </c:pt>
              </c:numCache>
            </c:numRef>
          </c:val>
          <c:extLst>
            <c:ext xmlns:c16="http://schemas.microsoft.com/office/drawing/2014/chart" uri="{C3380CC4-5D6E-409C-BE32-E72D297353CC}">
              <c16:uniqueId val="{00000000-3D4A-476B-BCB2-983E7E2D0F5F}"/>
            </c:ext>
          </c:extLst>
        </c:ser>
        <c:dLbls>
          <c:dLblPos val="outEnd"/>
          <c:showLegendKey val="0"/>
          <c:showVal val="1"/>
          <c:showCatName val="0"/>
          <c:showSerName val="0"/>
          <c:showPercent val="0"/>
          <c:showBubbleSize val="0"/>
        </c:dLbls>
        <c:gapWidth val="23"/>
        <c:axId val="1557341199"/>
        <c:axId val="1557361839"/>
      </c:barChart>
      <c:catAx>
        <c:axId val="15573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7361839"/>
        <c:crosses val="autoZero"/>
        <c:auto val="1"/>
        <c:lblAlgn val="ctr"/>
        <c:lblOffset val="100"/>
        <c:noMultiLvlLbl val="0"/>
      </c:catAx>
      <c:valAx>
        <c:axId val="1557361839"/>
        <c:scaling>
          <c:orientation val="minMax"/>
        </c:scaling>
        <c:delete val="1"/>
        <c:axPos val="b"/>
        <c:numFmt formatCode="General" sourceLinked="1"/>
        <c:majorTickMark val="none"/>
        <c:minorTickMark val="none"/>
        <c:tickLblPos val="nextTo"/>
        <c:crossAx val="1557341199"/>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Dashboard.xlsx]gas_analysis!PivotTable29</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Building Gas Bills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2D050"/>
          </a:solidFill>
          <a:ln w="12700">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w="12700">
            <a:noFill/>
          </a:ln>
          <a:effectLst/>
        </c:spPr>
        <c:marker>
          <c:symbol val="none"/>
        </c:marker>
        <c:dLbl>
          <c:idx val="0"/>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gas_analysis!$E$19</c:f>
              <c:strCache>
                <c:ptCount val="1"/>
                <c:pt idx="0">
                  <c:v>Total</c:v>
                </c:pt>
              </c:strCache>
            </c:strRef>
          </c:tx>
          <c:spPr>
            <a:solidFill>
              <a:srgbClr val="92D050"/>
            </a:solidFill>
            <a:ln w="12700">
              <a:noFill/>
            </a:ln>
            <a:effectLst/>
          </c:spPr>
          <c:invertIfNegative val="0"/>
          <c:dLbls>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gas_analysis!$D$20:$D$24</c:f>
              <c:strCache>
                <c:ptCount val="5"/>
                <c:pt idx="0">
                  <c:v>B1010</c:v>
                </c:pt>
                <c:pt idx="1">
                  <c:v>B1001</c:v>
                </c:pt>
                <c:pt idx="2">
                  <c:v>B1008</c:v>
                </c:pt>
                <c:pt idx="3">
                  <c:v>B1000</c:v>
                </c:pt>
                <c:pt idx="4">
                  <c:v>B1004</c:v>
                </c:pt>
              </c:strCache>
            </c:strRef>
          </c:cat>
          <c:val>
            <c:numRef>
              <c:f>gas_analysis!$E$20:$E$24</c:f>
              <c:numCache>
                <c:formatCode>\$#,##0.00;\(\$#,##0.00\);\$#,##0.00</c:formatCode>
                <c:ptCount val="5"/>
                <c:pt idx="0">
                  <c:v>277278.21399999998</c:v>
                </c:pt>
                <c:pt idx="1">
                  <c:v>279562.179</c:v>
                </c:pt>
                <c:pt idx="2">
                  <c:v>281109.84700000001</c:v>
                </c:pt>
                <c:pt idx="3">
                  <c:v>282256.89199999999</c:v>
                </c:pt>
                <c:pt idx="4">
                  <c:v>286375.00199999998</c:v>
                </c:pt>
              </c:numCache>
            </c:numRef>
          </c:val>
          <c:extLst>
            <c:ext xmlns:c16="http://schemas.microsoft.com/office/drawing/2014/chart" uri="{C3380CC4-5D6E-409C-BE32-E72D297353CC}">
              <c16:uniqueId val="{00000000-633E-4F4D-A9B7-791B819796FB}"/>
            </c:ext>
          </c:extLst>
        </c:ser>
        <c:dLbls>
          <c:dLblPos val="outEnd"/>
          <c:showLegendKey val="0"/>
          <c:showVal val="1"/>
          <c:showCatName val="0"/>
          <c:showSerName val="0"/>
          <c:showPercent val="0"/>
          <c:showBubbleSize val="0"/>
        </c:dLbls>
        <c:gapWidth val="23"/>
        <c:axId val="1557341199"/>
        <c:axId val="1557361839"/>
      </c:barChart>
      <c:catAx>
        <c:axId val="15573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7361839"/>
        <c:crosses val="autoZero"/>
        <c:auto val="1"/>
        <c:lblAlgn val="ctr"/>
        <c:lblOffset val="100"/>
        <c:noMultiLvlLbl val="0"/>
      </c:catAx>
      <c:valAx>
        <c:axId val="1557361839"/>
        <c:scaling>
          <c:orientation val="minMax"/>
        </c:scaling>
        <c:delete val="1"/>
        <c:axPos val="b"/>
        <c:numFmt formatCode="\$#,##0.00;\(\$#,##0.00\);\$#,##0.00" sourceLinked="1"/>
        <c:majorTickMark val="none"/>
        <c:minorTickMark val="none"/>
        <c:tickLblPos val="nextTo"/>
        <c:crossAx val="1557341199"/>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Dashboard.xlsx]gas_analysis!PivotTable30</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Regional Gas Supply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1C5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E39"/>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E39"/>
          </a:solidFill>
          <a:ln>
            <a:noFill/>
          </a:ln>
          <a:effectLst/>
        </c:spPr>
        <c:marker>
          <c:symbol val="none"/>
        </c:marker>
        <c:dLbl>
          <c:idx val="0"/>
          <c:numFmt formatCode="[&gt;=1000000]0,,&quot;M m³&quot;;[&gt;=1000]0,&quot;k m³&quot;;0&quot; m³&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gas_analysis!$H$21</c:f>
              <c:strCache>
                <c:ptCount val="1"/>
                <c:pt idx="0">
                  <c:v>Total</c:v>
                </c:pt>
              </c:strCache>
            </c:strRef>
          </c:tx>
          <c:spPr>
            <a:solidFill>
              <a:srgbClr val="007E39"/>
            </a:solidFill>
            <a:ln>
              <a:noFill/>
            </a:ln>
            <a:effectLst/>
          </c:spPr>
          <c:invertIfNegative val="0"/>
          <c:dLbls>
            <c:numFmt formatCode="[&gt;=1000000]0,,&quot;M m³&quot;;[&gt;=1000]0,&quot;k m³&quot;;0&quot; m³&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gas_analysis!$G$22:$G$26</c:f>
              <c:strCache>
                <c:ptCount val="5"/>
                <c:pt idx="0">
                  <c:v>New York</c:v>
                </c:pt>
                <c:pt idx="1">
                  <c:v>Chicago</c:v>
                </c:pt>
                <c:pt idx="2">
                  <c:v>Los Angeles</c:v>
                </c:pt>
                <c:pt idx="3">
                  <c:v>Houston</c:v>
                </c:pt>
                <c:pt idx="4">
                  <c:v>Phoenix</c:v>
                </c:pt>
              </c:strCache>
            </c:strRef>
          </c:cat>
          <c:val>
            <c:numRef>
              <c:f>gas_analysis!$H$22:$H$26</c:f>
              <c:numCache>
                <c:formatCode>General</c:formatCode>
                <c:ptCount val="5"/>
                <c:pt idx="0">
                  <c:v>709938</c:v>
                </c:pt>
                <c:pt idx="1">
                  <c:v>708141</c:v>
                </c:pt>
                <c:pt idx="2">
                  <c:v>689500</c:v>
                </c:pt>
                <c:pt idx="3">
                  <c:v>225232</c:v>
                </c:pt>
                <c:pt idx="4">
                  <c:v>220277</c:v>
                </c:pt>
              </c:numCache>
            </c:numRef>
          </c:val>
          <c:extLst>
            <c:ext xmlns:c16="http://schemas.microsoft.com/office/drawing/2014/chart" uri="{C3380CC4-5D6E-409C-BE32-E72D297353CC}">
              <c16:uniqueId val="{00000000-E4F2-4E5A-9FC2-FC1598DA7CFC}"/>
            </c:ext>
          </c:extLst>
        </c:ser>
        <c:dLbls>
          <c:dLblPos val="outEnd"/>
          <c:showLegendKey val="0"/>
          <c:showVal val="1"/>
          <c:showCatName val="0"/>
          <c:showSerName val="0"/>
          <c:showPercent val="0"/>
          <c:showBubbleSize val="0"/>
        </c:dLbls>
        <c:gapWidth val="21"/>
        <c:overlap val="-27"/>
        <c:axId val="1157701071"/>
        <c:axId val="1157697231"/>
      </c:barChart>
      <c:catAx>
        <c:axId val="11577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7697231"/>
        <c:crosses val="autoZero"/>
        <c:auto val="1"/>
        <c:lblAlgn val="ctr"/>
        <c:lblOffset val="100"/>
        <c:noMultiLvlLbl val="0"/>
      </c:catAx>
      <c:valAx>
        <c:axId val="1157697231"/>
        <c:scaling>
          <c:orientation val="minMax"/>
        </c:scaling>
        <c:delete val="1"/>
        <c:axPos val="l"/>
        <c:numFmt formatCode="General" sourceLinked="1"/>
        <c:majorTickMark val="none"/>
        <c:minorTickMark val="none"/>
        <c:tickLblPos val="nextTo"/>
        <c:crossAx val="1157701071"/>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Dashboard.xlsx]gas_analysis!PivotTable31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Regional Gas Spending</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a:noFill/>
          </a:ln>
          <a:effectLst/>
        </c:spPr>
        <c:marker>
          <c:symbol val="none"/>
        </c:marker>
        <c:dLbl>
          <c:idx val="0"/>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gas_analysis!$K$22</c:f>
              <c:strCache>
                <c:ptCount val="1"/>
                <c:pt idx="0">
                  <c:v>Total</c:v>
                </c:pt>
              </c:strCache>
            </c:strRef>
          </c:tx>
          <c:spPr>
            <a:solidFill>
              <a:srgbClr val="92D050"/>
            </a:solidFill>
            <a:ln>
              <a:noFill/>
            </a:ln>
            <a:effectLst/>
          </c:spPr>
          <c:invertIfNegative val="0"/>
          <c:dLbls>
            <c:numFmt formatCode="[&gt;=1000000]&quot;$&quot;0.0,,&quot; M&quot;;[&gt;=1000]&quot;$&quot;0.0,&quot; 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gas_analysis!$J$23:$J$27</c:f>
              <c:strCache>
                <c:ptCount val="5"/>
                <c:pt idx="0">
                  <c:v>New York</c:v>
                </c:pt>
                <c:pt idx="1">
                  <c:v>Chicago</c:v>
                </c:pt>
                <c:pt idx="2">
                  <c:v>Los Angeles</c:v>
                </c:pt>
                <c:pt idx="3">
                  <c:v>Houston</c:v>
                </c:pt>
                <c:pt idx="4">
                  <c:v>Phoenix</c:v>
                </c:pt>
              </c:strCache>
            </c:strRef>
          </c:cat>
          <c:val>
            <c:numRef>
              <c:f>gas_analysis!$K$23:$K$27</c:f>
              <c:numCache>
                <c:formatCode>\$#,##0.00;\(\$#,##0.00\);\$#,##0.00</c:formatCode>
                <c:ptCount val="5"/>
                <c:pt idx="0">
                  <c:v>837940.05900000001</c:v>
                </c:pt>
                <c:pt idx="1">
                  <c:v>834932.97199999995</c:v>
                </c:pt>
                <c:pt idx="2">
                  <c:v>814833.89099999995</c:v>
                </c:pt>
                <c:pt idx="3">
                  <c:v>265026.348</c:v>
                </c:pt>
                <c:pt idx="4">
                  <c:v>258277.60399999999</c:v>
                </c:pt>
              </c:numCache>
            </c:numRef>
          </c:val>
          <c:extLst>
            <c:ext xmlns:c16="http://schemas.microsoft.com/office/drawing/2014/chart" uri="{C3380CC4-5D6E-409C-BE32-E72D297353CC}">
              <c16:uniqueId val="{00000000-037D-4A53-9D5C-CD5B2CD86A0E}"/>
            </c:ext>
          </c:extLst>
        </c:ser>
        <c:dLbls>
          <c:dLblPos val="outEnd"/>
          <c:showLegendKey val="0"/>
          <c:showVal val="1"/>
          <c:showCatName val="0"/>
          <c:showSerName val="0"/>
          <c:showPercent val="0"/>
          <c:showBubbleSize val="0"/>
        </c:dLbls>
        <c:gapWidth val="21"/>
        <c:overlap val="-27"/>
        <c:axId val="1157701071"/>
        <c:axId val="1157697231"/>
      </c:barChart>
      <c:catAx>
        <c:axId val="11577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7697231"/>
        <c:crosses val="autoZero"/>
        <c:auto val="1"/>
        <c:lblAlgn val="ctr"/>
        <c:lblOffset val="100"/>
        <c:noMultiLvlLbl val="0"/>
      </c:catAx>
      <c:valAx>
        <c:axId val="1157697231"/>
        <c:scaling>
          <c:orientation val="minMax"/>
        </c:scaling>
        <c:delete val="1"/>
        <c:axPos val="l"/>
        <c:numFmt formatCode="\$#,##0.00;\(\$#,##0.00\);\$#,##0.00" sourceLinked="1"/>
        <c:majorTickMark val="none"/>
        <c:minorTickMark val="none"/>
        <c:tickLblPos val="nextTo"/>
        <c:crossAx val="1157701071"/>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18" Type="http://schemas.openxmlformats.org/officeDocument/2006/relationships/hyperlink" Target="#'DashBoard Gas'!A1"/><Relationship Id="rId26" Type="http://schemas.openxmlformats.org/officeDocument/2006/relationships/image" Target="../media/image15.png"/><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8.svg"/><Relationship Id="rId25" Type="http://schemas.openxmlformats.org/officeDocument/2006/relationships/image" Target="../media/image14.svg"/><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24" Type="http://schemas.openxmlformats.org/officeDocument/2006/relationships/image" Target="../media/image13.png"/><Relationship Id="rId5" Type="http://schemas.openxmlformats.org/officeDocument/2006/relationships/chart" Target="../charts/chart5.xml"/><Relationship Id="rId15" Type="http://schemas.openxmlformats.org/officeDocument/2006/relationships/hyperlink" Target="#'DashBoard Water'!A1"/><Relationship Id="rId23" Type="http://schemas.openxmlformats.org/officeDocument/2006/relationships/hyperlink" Target="#'DashBoard Electricity'!A1"/><Relationship Id="rId10" Type="http://schemas.openxmlformats.org/officeDocument/2006/relationships/image" Target="../media/image2.svg"/><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 Id="rId22" Type="http://schemas.openxmlformats.org/officeDocument/2006/relationships/image" Target="../media/image12.svg"/><Relationship Id="rId27" Type="http://schemas.openxmlformats.org/officeDocument/2006/relationships/image" Target="../media/image16.svg"/></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7.png"/><Relationship Id="rId18" Type="http://schemas.openxmlformats.org/officeDocument/2006/relationships/image" Target="../media/image11.png"/><Relationship Id="rId26" Type="http://schemas.openxmlformats.org/officeDocument/2006/relationships/chart" Target="../charts/chart15.xml"/><Relationship Id="rId3" Type="http://schemas.openxmlformats.org/officeDocument/2006/relationships/image" Target="../media/image3.png"/><Relationship Id="rId21" Type="http://schemas.openxmlformats.org/officeDocument/2006/relationships/chart" Target="../charts/chart10.xml"/><Relationship Id="rId7" Type="http://schemas.openxmlformats.org/officeDocument/2006/relationships/hyperlink" Target="#'DashBoard Water'!A1"/><Relationship Id="rId12" Type="http://schemas.openxmlformats.org/officeDocument/2006/relationships/hyperlink" Target="#'DashBoard OverAll'!A1"/><Relationship Id="rId17" Type="http://schemas.openxmlformats.org/officeDocument/2006/relationships/image" Target="../media/image10.svg"/><Relationship Id="rId25"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image" Target="../media/image9.png"/><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4.svg"/><Relationship Id="rId24"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hyperlink" Target="#'DashBoard Gas'!A1"/><Relationship Id="rId23" Type="http://schemas.openxmlformats.org/officeDocument/2006/relationships/chart" Target="../charts/chart12.xml"/><Relationship Id="rId10" Type="http://schemas.openxmlformats.org/officeDocument/2006/relationships/image" Target="../media/image13.png"/><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image" Target="../media/image18.svg"/><Relationship Id="rId22" Type="http://schemas.openxmlformats.org/officeDocument/2006/relationships/chart" Target="../charts/chart11.xml"/><Relationship Id="rId27"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7.png"/><Relationship Id="rId26" Type="http://schemas.openxmlformats.org/officeDocument/2006/relationships/chart" Target="../charts/chart23.xml"/><Relationship Id="rId3" Type="http://schemas.openxmlformats.org/officeDocument/2006/relationships/image" Target="../media/image3.png"/><Relationship Id="rId21" Type="http://schemas.openxmlformats.org/officeDocument/2006/relationships/chart" Target="../charts/chart18.xml"/><Relationship Id="rId7" Type="http://schemas.openxmlformats.org/officeDocument/2006/relationships/hyperlink" Target="#'DashBoard Gas'!A1"/><Relationship Id="rId12" Type="http://schemas.openxmlformats.org/officeDocument/2006/relationships/hyperlink" Target="#'DashBoard Electricity'!A1"/><Relationship Id="rId17" Type="http://schemas.openxmlformats.org/officeDocument/2006/relationships/image" Target="../media/image18.svg"/><Relationship Id="rId25" Type="http://schemas.openxmlformats.org/officeDocument/2006/relationships/chart" Target="../charts/chart22.xml"/><Relationship Id="rId2" Type="http://schemas.openxmlformats.org/officeDocument/2006/relationships/image" Target="../media/image2.svg"/><Relationship Id="rId16" Type="http://schemas.openxmlformats.org/officeDocument/2006/relationships/image" Target="../media/image17.png"/><Relationship Id="rId20"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2.svg"/><Relationship Id="rId24" Type="http://schemas.openxmlformats.org/officeDocument/2006/relationships/chart" Target="../charts/chart21.xml"/><Relationship Id="rId5" Type="http://schemas.openxmlformats.org/officeDocument/2006/relationships/image" Target="../media/image5.png"/><Relationship Id="rId15" Type="http://schemas.openxmlformats.org/officeDocument/2006/relationships/hyperlink" Target="#'DashBoard OverAll'!A1"/><Relationship Id="rId23" Type="http://schemas.openxmlformats.org/officeDocument/2006/relationships/chart" Target="../charts/chart20.xml"/><Relationship Id="rId10" Type="http://schemas.openxmlformats.org/officeDocument/2006/relationships/image" Target="../media/image11.png"/><Relationship Id="rId19"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10.svg"/><Relationship Id="rId14" Type="http://schemas.openxmlformats.org/officeDocument/2006/relationships/image" Target="../media/image14.svg"/><Relationship Id="rId22" Type="http://schemas.openxmlformats.org/officeDocument/2006/relationships/chart" Target="../charts/chart19.xml"/><Relationship Id="rId27" Type="http://schemas.openxmlformats.org/officeDocument/2006/relationships/chart" Target="../charts/chart24.xml"/></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2.svg"/><Relationship Id="rId18" Type="http://schemas.openxmlformats.org/officeDocument/2006/relationships/image" Target="../media/image7.png"/><Relationship Id="rId26" Type="http://schemas.openxmlformats.org/officeDocument/2006/relationships/chart" Target="../charts/chart31.xml"/><Relationship Id="rId3" Type="http://schemas.openxmlformats.org/officeDocument/2006/relationships/image" Target="../media/image3.png"/><Relationship Id="rId21" Type="http://schemas.openxmlformats.org/officeDocument/2006/relationships/chart" Target="../charts/chart26.xml"/><Relationship Id="rId7" Type="http://schemas.openxmlformats.org/officeDocument/2006/relationships/hyperlink" Target="#'DashBoard Electricity'!A1"/><Relationship Id="rId12" Type="http://schemas.openxmlformats.org/officeDocument/2006/relationships/image" Target="../media/image11.png"/><Relationship Id="rId17" Type="http://schemas.openxmlformats.org/officeDocument/2006/relationships/hyperlink" Target="#'DashBoard Water'!A1"/><Relationship Id="rId25" Type="http://schemas.openxmlformats.org/officeDocument/2006/relationships/chart" Target="../charts/chart30.xml"/><Relationship Id="rId2" Type="http://schemas.openxmlformats.org/officeDocument/2006/relationships/image" Target="../media/image2.svg"/><Relationship Id="rId16" Type="http://schemas.openxmlformats.org/officeDocument/2006/relationships/image" Target="../media/image18.svg"/><Relationship Id="rId20" Type="http://schemas.openxmlformats.org/officeDocument/2006/relationships/chart" Target="../charts/chart2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0.svg"/><Relationship Id="rId24" Type="http://schemas.openxmlformats.org/officeDocument/2006/relationships/chart" Target="../charts/chart29.xml"/><Relationship Id="rId5" Type="http://schemas.openxmlformats.org/officeDocument/2006/relationships/image" Target="../media/image5.png"/><Relationship Id="rId15" Type="http://schemas.openxmlformats.org/officeDocument/2006/relationships/image" Target="../media/image17.png"/><Relationship Id="rId23" Type="http://schemas.openxmlformats.org/officeDocument/2006/relationships/chart" Target="../charts/chart28.xml"/><Relationship Id="rId10" Type="http://schemas.openxmlformats.org/officeDocument/2006/relationships/image" Target="../media/image9.png"/><Relationship Id="rId19"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14.svg"/><Relationship Id="rId14" Type="http://schemas.openxmlformats.org/officeDocument/2006/relationships/hyperlink" Target="#'DashBoard OverAll'!A1"/><Relationship Id="rId22" Type="http://schemas.openxmlformats.org/officeDocument/2006/relationships/chart" Target="../charts/chart27.xml"/><Relationship Id="rId27"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57149</xdr:rowOff>
    </xdr:from>
    <xdr:to>
      <xdr:col>29</xdr:col>
      <xdr:colOff>66675</xdr:colOff>
      <xdr:row>41</xdr:row>
      <xdr:rowOff>19050</xdr:rowOff>
    </xdr:to>
    <xdr:sp macro="" textlink="">
      <xdr:nvSpPr>
        <xdr:cNvPr id="2" name="Rectangle: Rounded Corners 1">
          <a:extLst>
            <a:ext uri="{FF2B5EF4-FFF2-40B4-BE49-F238E27FC236}">
              <a16:creationId xmlns:a16="http://schemas.microsoft.com/office/drawing/2014/main" id="{7D30B85E-4F9A-53A2-5E76-BFB32F718E34}"/>
            </a:ext>
          </a:extLst>
        </xdr:cNvPr>
        <xdr:cNvSpPr/>
      </xdr:nvSpPr>
      <xdr:spPr>
        <a:xfrm>
          <a:off x="123825" y="57149"/>
          <a:ext cx="17621250" cy="7772401"/>
        </a:xfrm>
        <a:prstGeom prst="roundRect">
          <a:avLst>
            <a:gd name="adj" fmla="val 3554"/>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0</xdr:row>
      <xdr:rowOff>57150</xdr:rowOff>
    </xdr:from>
    <xdr:to>
      <xdr:col>29</xdr:col>
      <xdr:colOff>65913</xdr:colOff>
      <xdr:row>7</xdr:row>
      <xdr:rowOff>47626</xdr:rowOff>
    </xdr:to>
    <xdr:sp macro="" textlink="">
      <xdr:nvSpPr>
        <xdr:cNvPr id="5" name="Rectangle: Top Corners Rounded 4">
          <a:extLst>
            <a:ext uri="{FF2B5EF4-FFF2-40B4-BE49-F238E27FC236}">
              <a16:creationId xmlns:a16="http://schemas.microsoft.com/office/drawing/2014/main" id="{9BD48EEB-BC5D-F5BB-DDF4-0B8BBC23CA86}"/>
            </a:ext>
          </a:extLst>
        </xdr:cNvPr>
        <xdr:cNvSpPr/>
      </xdr:nvSpPr>
      <xdr:spPr>
        <a:xfrm>
          <a:off x="123825" y="57150"/>
          <a:ext cx="17620488" cy="1323976"/>
        </a:xfrm>
        <a:prstGeom prst="round2Same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123823</xdr:colOff>
      <xdr:row>0</xdr:row>
      <xdr:rowOff>57150</xdr:rowOff>
    </xdr:from>
    <xdr:to>
      <xdr:col>7</xdr:col>
      <xdr:colOff>428623</xdr:colOff>
      <xdr:row>7</xdr:row>
      <xdr:rowOff>49530</xdr:rowOff>
    </xdr:to>
    <xdr:sp macro="" textlink="">
      <xdr:nvSpPr>
        <xdr:cNvPr id="7" name="Rectangle: Single Corner Rounded 6">
          <a:extLst>
            <a:ext uri="{FF2B5EF4-FFF2-40B4-BE49-F238E27FC236}">
              <a16:creationId xmlns:a16="http://schemas.microsoft.com/office/drawing/2014/main" id="{39302D7E-9155-876C-C90D-D4CE6D96EC95}"/>
            </a:ext>
          </a:extLst>
        </xdr:cNvPr>
        <xdr:cNvSpPr/>
      </xdr:nvSpPr>
      <xdr:spPr>
        <a:xfrm flipH="1">
          <a:off x="123823" y="57150"/>
          <a:ext cx="4572000" cy="1325880"/>
        </a:xfrm>
        <a:prstGeom prst="round1Rect">
          <a:avLst>
            <a:gd name="adj" fmla="val 14512"/>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371474</xdr:colOff>
      <xdr:row>0</xdr:row>
      <xdr:rowOff>57150</xdr:rowOff>
    </xdr:from>
    <xdr:to>
      <xdr:col>29</xdr:col>
      <xdr:colOff>66674</xdr:colOff>
      <xdr:row>7</xdr:row>
      <xdr:rowOff>49530</xdr:rowOff>
    </xdr:to>
    <xdr:sp macro="" textlink="">
      <xdr:nvSpPr>
        <xdr:cNvPr id="8" name="Rectangle: Single Corner Rounded 7">
          <a:extLst>
            <a:ext uri="{FF2B5EF4-FFF2-40B4-BE49-F238E27FC236}">
              <a16:creationId xmlns:a16="http://schemas.microsoft.com/office/drawing/2014/main" id="{96556037-89DC-41A9-94C1-138AC34804EB}"/>
            </a:ext>
          </a:extLst>
        </xdr:cNvPr>
        <xdr:cNvSpPr/>
      </xdr:nvSpPr>
      <xdr:spPr>
        <a:xfrm>
          <a:off x="13173074" y="57150"/>
          <a:ext cx="4572000" cy="1325880"/>
        </a:xfrm>
        <a:prstGeom prst="round1Rect">
          <a:avLst>
            <a:gd name="adj" fmla="val 15949"/>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466725</xdr:colOff>
      <xdr:row>0</xdr:row>
      <xdr:rowOff>104775</xdr:rowOff>
    </xdr:from>
    <xdr:to>
      <xdr:col>21</xdr:col>
      <xdr:colOff>142875</xdr:colOff>
      <xdr:row>4</xdr:row>
      <xdr:rowOff>152400</xdr:rowOff>
    </xdr:to>
    <xdr:sp macro="" textlink="">
      <xdr:nvSpPr>
        <xdr:cNvPr id="9" name="TextBox 8">
          <a:extLst>
            <a:ext uri="{FF2B5EF4-FFF2-40B4-BE49-F238E27FC236}">
              <a16:creationId xmlns:a16="http://schemas.microsoft.com/office/drawing/2014/main" id="{9BB7DBD3-4E15-6B19-81DB-19DE1509FE50}"/>
            </a:ext>
          </a:extLst>
        </xdr:cNvPr>
        <xdr:cNvSpPr txBox="1"/>
      </xdr:nvSpPr>
      <xdr:spPr>
        <a:xfrm>
          <a:off x="5953125" y="104775"/>
          <a:ext cx="699135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Constantia" panose="02030602050306030303" pitchFamily="18" charset="0"/>
              <a:cs typeface="Aharoni" panose="020F0502020204030204" pitchFamily="2" charset="-79"/>
            </a:rPr>
            <a:t>ENERGY CONSUMPTION COMMAND</a:t>
          </a:r>
          <a:r>
            <a:rPr lang="en-US" sz="2400" b="1" baseline="0">
              <a:latin typeface="Constantia" panose="02030602050306030303" pitchFamily="18" charset="0"/>
              <a:cs typeface="Aharoni" panose="020F0502020204030204" pitchFamily="2" charset="-79"/>
            </a:rPr>
            <a:t> CENTER</a:t>
          </a:r>
          <a:endParaRPr lang="en-US" sz="2400" b="1">
            <a:latin typeface="Constantia" panose="02030602050306030303" pitchFamily="18" charset="0"/>
            <a:cs typeface="Aharoni" panose="020F0502020204030204" pitchFamily="2" charset="-79"/>
          </a:endParaRPr>
        </a:p>
      </xdr:txBody>
    </xdr:sp>
    <xdr:clientData/>
  </xdr:twoCellAnchor>
  <xdr:twoCellAnchor>
    <xdr:from>
      <xdr:col>9</xdr:col>
      <xdr:colOff>504825</xdr:colOff>
      <xdr:row>0</xdr:row>
      <xdr:rowOff>171449</xdr:rowOff>
    </xdr:from>
    <xdr:to>
      <xdr:col>9</xdr:col>
      <xdr:colOff>504825</xdr:colOff>
      <xdr:row>6</xdr:row>
      <xdr:rowOff>125729</xdr:rowOff>
    </xdr:to>
    <xdr:cxnSp macro="">
      <xdr:nvCxnSpPr>
        <xdr:cNvPr id="13" name="Straight Connector 12">
          <a:extLst>
            <a:ext uri="{FF2B5EF4-FFF2-40B4-BE49-F238E27FC236}">
              <a16:creationId xmlns:a16="http://schemas.microsoft.com/office/drawing/2014/main" id="{4746490C-790A-CA2E-A11C-C204CBD0F28E}"/>
            </a:ext>
          </a:extLst>
        </xdr:cNvPr>
        <xdr:cNvCxnSpPr/>
      </xdr:nvCxnSpPr>
      <xdr:spPr>
        <a:xfrm flipH="1">
          <a:off x="5991225" y="171449"/>
          <a:ext cx="0" cy="10972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466725</xdr:colOff>
      <xdr:row>4</xdr:row>
      <xdr:rowOff>57150</xdr:rowOff>
    </xdr:from>
    <xdr:to>
      <xdr:col>16</xdr:col>
      <xdr:colOff>28575</xdr:colOff>
      <xdr:row>6</xdr:row>
      <xdr:rowOff>38100</xdr:rowOff>
    </xdr:to>
    <xdr:sp macro="" textlink="">
      <xdr:nvSpPr>
        <xdr:cNvPr id="14" name="TextBox 13">
          <a:extLst>
            <a:ext uri="{FF2B5EF4-FFF2-40B4-BE49-F238E27FC236}">
              <a16:creationId xmlns:a16="http://schemas.microsoft.com/office/drawing/2014/main" id="{AA41A3A0-F870-40E7-B898-AA97645523D6}"/>
            </a:ext>
          </a:extLst>
        </xdr:cNvPr>
        <xdr:cNvSpPr txBox="1"/>
      </xdr:nvSpPr>
      <xdr:spPr>
        <a:xfrm>
          <a:off x="5953125" y="819150"/>
          <a:ext cx="38290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lumMod val="65000"/>
                  <a:lumOff val="35000"/>
                </a:schemeClr>
              </a:solidFill>
              <a:latin typeface="Aharoni" panose="02010803020104030203" pitchFamily="2" charset="-79"/>
              <a:cs typeface="Aharoni" panose="02010803020104030203" pitchFamily="2" charset="-79"/>
            </a:rPr>
            <a:t>OverAll</a:t>
          </a:r>
          <a:r>
            <a:rPr lang="en-US" sz="1600" b="1" baseline="0">
              <a:solidFill>
                <a:schemeClr val="tx1">
                  <a:lumMod val="65000"/>
                  <a:lumOff val="35000"/>
                </a:schemeClr>
              </a:solidFill>
              <a:latin typeface="Aharoni" panose="02010803020104030203" pitchFamily="2" charset="-79"/>
              <a:cs typeface="Aharoni" panose="02010803020104030203" pitchFamily="2" charset="-79"/>
            </a:rPr>
            <a:t> Energy Analytics Dashboard</a:t>
          </a:r>
          <a:endParaRPr lang="en-US" sz="1600" b="1">
            <a:solidFill>
              <a:schemeClr val="tx1">
                <a:lumMod val="65000"/>
                <a:lumOff val="35000"/>
              </a:schemeClr>
            </a:solidFill>
            <a:latin typeface="Aharoni" panose="02010803020104030203" pitchFamily="2" charset="-79"/>
            <a:cs typeface="Aharoni" panose="02010803020104030203" pitchFamily="2" charset="-79"/>
          </a:endParaRPr>
        </a:p>
      </xdr:txBody>
    </xdr:sp>
    <xdr:clientData/>
  </xdr:twoCellAnchor>
  <xdr:twoCellAnchor>
    <xdr:from>
      <xdr:col>3</xdr:col>
      <xdr:colOff>171448</xdr:colOff>
      <xdr:row>0</xdr:row>
      <xdr:rowOff>128587</xdr:rowOff>
    </xdr:from>
    <xdr:to>
      <xdr:col>4</xdr:col>
      <xdr:colOff>380998</xdr:colOff>
      <xdr:row>2</xdr:row>
      <xdr:rowOff>109537</xdr:rowOff>
    </xdr:to>
    <xdr:sp macro="" textlink="">
      <xdr:nvSpPr>
        <xdr:cNvPr id="15" name="TextBox 14">
          <a:extLst>
            <a:ext uri="{FF2B5EF4-FFF2-40B4-BE49-F238E27FC236}">
              <a16:creationId xmlns:a16="http://schemas.microsoft.com/office/drawing/2014/main" id="{33C57C6D-AD66-486A-A7DD-BB54B75B30C5}"/>
            </a:ext>
          </a:extLst>
        </xdr:cNvPr>
        <xdr:cNvSpPr txBox="1"/>
      </xdr:nvSpPr>
      <xdr:spPr>
        <a:xfrm>
          <a:off x="2000248" y="128587"/>
          <a:ext cx="8191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haroni" panose="02010803020104030203" pitchFamily="2" charset="-79"/>
              <a:cs typeface="Aharoni" panose="02010803020104030203" pitchFamily="2" charset="-79"/>
            </a:rPr>
            <a:t>Year</a:t>
          </a:r>
        </a:p>
      </xdr:txBody>
    </xdr:sp>
    <xdr:clientData/>
  </xdr:twoCellAnchor>
  <xdr:twoCellAnchor>
    <xdr:from>
      <xdr:col>24</xdr:col>
      <xdr:colOff>252412</xdr:colOff>
      <xdr:row>0</xdr:row>
      <xdr:rowOff>147637</xdr:rowOff>
    </xdr:from>
    <xdr:to>
      <xdr:col>26</xdr:col>
      <xdr:colOff>185737</xdr:colOff>
      <xdr:row>2</xdr:row>
      <xdr:rowOff>128587</xdr:rowOff>
    </xdr:to>
    <xdr:sp macro="" textlink="">
      <xdr:nvSpPr>
        <xdr:cNvPr id="16" name="TextBox 15">
          <a:extLst>
            <a:ext uri="{FF2B5EF4-FFF2-40B4-BE49-F238E27FC236}">
              <a16:creationId xmlns:a16="http://schemas.microsoft.com/office/drawing/2014/main" id="{A81FD01E-20AA-4931-87D3-65752A54CCB0}"/>
            </a:ext>
          </a:extLst>
        </xdr:cNvPr>
        <xdr:cNvSpPr txBox="1"/>
      </xdr:nvSpPr>
      <xdr:spPr>
        <a:xfrm>
          <a:off x="14882812" y="147637"/>
          <a:ext cx="11525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haroni" panose="02010803020104030203" pitchFamily="2" charset="-79"/>
              <a:cs typeface="Aharoni" panose="02010803020104030203" pitchFamily="2" charset="-79"/>
            </a:rPr>
            <a:t>Month</a:t>
          </a:r>
        </a:p>
      </xdr:txBody>
    </xdr:sp>
    <xdr:clientData/>
  </xdr:twoCellAnchor>
  <xdr:twoCellAnchor>
    <xdr:from>
      <xdr:col>3</xdr:col>
      <xdr:colOff>120533</xdr:colOff>
      <xdr:row>7</xdr:row>
      <xdr:rowOff>142875</xdr:rowOff>
    </xdr:from>
    <xdr:to>
      <xdr:col>5</xdr:col>
      <xdr:colOff>550972</xdr:colOff>
      <xdr:row>13</xdr:row>
      <xdr:rowOff>5715</xdr:rowOff>
    </xdr:to>
    <xdr:sp macro="" textlink="">
      <xdr:nvSpPr>
        <xdr:cNvPr id="3" name="Rectangle: Rounded Corners 2">
          <a:extLst>
            <a:ext uri="{FF2B5EF4-FFF2-40B4-BE49-F238E27FC236}">
              <a16:creationId xmlns:a16="http://schemas.microsoft.com/office/drawing/2014/main" id="{78D1168A-6E81-4BC8-B1E1-197961903311}"/>
            </a:ext>
          </a:extLst>
        </xdr:cNvPr>
        <xdr:cNvSpPr/>
      </xdr:nvSpPr>
      <xdr:spPr>
        <a:xfrm>
          <a:off x="1949333" y="1476375"/>
          <a:ext cx="1649639" cy="1005840"/>
        </a:xfrm>
        <a:prstGeom prst="roundRect">
          <a:avLst>
            <a:gd name="adj" fmla="val 16205"/>
          </a:avLst>
        </a:prstGeom>
        <a:solidFill>
          <a:schemeClr val="bg2">
            <a:lumMod val="9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7</xdr:row>
      <xdr:rowOff>142875</xdr:rowOff>
    </xdr:from>
    <xdr:to>
      <xdr:col>3</xdr:col>
      <xdr:colOff>4753</xdr:colOff>
      <xdr:row>13</xdr:row>
      <xdr:rowOff>5715</xdr:rowOff>
    </xdr:to>
    <xdr:sp macro="" textlink="">
      <xdr:nvSpPr>
        <xdr:cNvPr id="19" name="Rectangle: Rounded Corners 18">
          <a:extLst>
            <a:ext uri="{FF2B5EF4-FFF2-40B4-BE49-F238E27FC236}">
              <a16:creationId xmlns:a16="http://schemas.microsoft.com/office/drawing/2014/main" id="{BC5958F9-2603-4275-AA86-AEE51419AF62}"/>
            </a:ext>
          </a:extLst>
        </xdr:cNvPr>
        <xdr:cNvSpPr/>
      </xdr:nvSpPr>
      <xdr:spPr>
        <a:xfrm>
          <a:off x="177800" y="1476375"/>
          <a:ext cx="1655753" cy="1005840"/>
        </a:xfrm>
        <a:prstGeom prst="roundRect">
          <a:avLst>
            <a:gd name="adj" fmla="val 16205"/>
          </a:avLst>
        </a:prstGeom>
        <a:solidFill>
          <a:schemeClr val="bg2">
            <a:lumMod val="9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57151</xdr:colOff>
      <xdr:row>7</xdr:row>
      <xdr:rowOff>142875</xdr:rowOff>
    </xdr:from>
    <xdr:to>
      <xdr:col>8</xdr:col>
      <xdr:colOff>482601</xdr:colOff>
      <xdr:row>13</xdr:row>
      <xdr:rowOff>5715</xdr:rowOff>
    </xdr:to>
    <xdr:sp macro="" textlink="">
      <xdr:nvSpPr>
        <xdr:cNvPr id="20" name="Rectangle: Rounded Corners 19">
          <a:extLst>
            <a:ext uri="{FF2B5EF4-FFF2-40B4-BE49-F238E27FC236}">
              <a16:creationId xmlns:a16="http://schemas.microsoft.com/office/drawing/2014/main" id="{EA5FD5A9-F4EE-401A-AA51-7E0CCFABCA3A}"/>
            </a:ext>
          </a:extLst>
        </xdr:cNvPr>
        <xdr:cNvSpPr/>
      </xdr:nvSpPr>
      <xdr:spPr>
        <a:xfrm>
          <a:off x="3714751" y="1476375"/>
          <a:ext cx="1644650" cy="1005840"/>
        </a:xfrm>
        <a:prstGeom prst="roundRect">
          <a:avLst>
            <a:gd name="adj" fmla="val 16205"/>
          </a:avLst>
        </a:prstGeom>
        <a:solidFill>
          <a:schemeClr val="bg2">
            <a:lumMod val="9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13</xdr:row>
      <xdr:rowOff>98425</xdr:rowOff>
    </xdr:from>
    <xdr:to>
      <xdr:col>8</xdr:col>
      <xdr:colOff>482601</xdr:colOff>
      <xdr:row>26</xdr:row>
      <xdr:rowOff>182245</xdr:rowOff>
    </xdr:to>
    <xdr:sp macro="" textlink="">
      <xdr:nvSpPr>
        <xdr:cNvPr id="21" name="Rectangle: Rounded Corners 20">
          <a:extLst>
            <a:ext uri="{FF2B5EF4-FFF2-40B4-BE49-F238E27FC236}">
              <a16:creationId xmlns:a16="http://schemas.microsoft.com/office/drawing/2014/main" id="{F22F54D2-F03C-430D-A786-F1E9DBE32F25}"/>
            </a:ext>
          </a:extLst>
        </xdr:cNvPr>
        <xdr:cNvSpPr/>
      </xdr:nvSpPr>
      <xdr:spPr>
        <a:xfrm>
          <a:off x="177800" y="2574925"/>
          <a:ext cx="5181601" cy="2560320"/>
        </a:xfrm>
        <a:prstGeom prst="roundRect">
          <a:avLst>
            <a:gd name="adj" fmla="val 16205"/>
          </a:avLst>
        </a:prstGeom>
        <a:solidFill>
          <a:schemeClr val="tx1">
            <a:lumMod val="50000"/>
            <a:lumOff val="5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177799</xdr:colOff>
      <xdr:row>27</xdr:row>
      <xdr:rowOff>50800</xdr:rowOff>
    </xdr:from>
    <xdr:to>
      <xdr:col>8</xdr:col>
      <xdr:colOff>485647</xdr:colOff>
      <xdr:row>40</xdr:row>
      <xdr:rowOff>134620</xdr:rowOff>
    </xdr:to>
    <xdr:sp macro="" textlink="">
      <xdr:nvSpPr>
        <xdr:cNvPr id="22" name="Rectangle: Rounded Corners 21">
          <a:extLst>
            <a:ext uri="{FF2B5EF4-FFF2-40B4-BE49-F238E27FC236}">
              <a16:creationId xmlns:a16="http://schemas.microsoft.com/office/drawing/2014/main" id="{1EBD4846-8FFC-40E1-805A-35431062AFAB}"/>
            </a:ext>
          </a:extLst>
        </xdr:cNvPr>
        <xdr:cNvSpPr/>
      </xdr:nvSpPr>
      <xdr:spPr>
        <a:xfrm>
          <a:off x="177799" y="5194300"/>
          <a:ext cx="5184648" cy="2560320"/>
        </a:xfrm>
        <a:prstGeom prst="roundRect">
          <a:avLst>
            <a:gd name="adj" fmla="val 16205"/>
          </a:avLst>
        </a:prstGeom>
        <a:solidFill>
          <a:schemeClr val="tx1">
            <a:lumMod val="50000"/>
            <a:lumOff val="5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551932</xdr:colOff>
      <xdr:row>17</xdr:row>
      <xdr:rowOff>62593</xdr:rowOff>
    </xdr:from>
    <xdr:to>
      <xdr:col>19</xdr:col>
      <xdr:colOff>475732</xdr:colOff>
      <xdr:row>28</xdr:row>
      <xdr:rowOff>70213</xdr:rowOff>
    </xdr:to>
    <xdr:sp macro="" textlink="">
      <xdr:nvSpPr>
        <xdr:cNvPr id="26" name="Rectangle: Rounded Corners 25">
          <a:extLst>
            <a:ext uri="{FF2B5EF4-FFF2-40B4-BE49-F238E27FC236}">
              <a16:creationId xmlns:a16="http://schemas.microsoft.com/office/drawing/2014/main" id="{D83FB14F-4920-4445-8054-082DB5285B20}"/>
            </a:ext>
          </a:extLst>
        </xdr:cNvPr>
        <xdr:cNvSpPr/>
      </xdr:nvSpPr>
      <xdr:spPr>
        <a:xfrm>
          <a:off x="5428732" y="3301093"/>
          <a:ext cx="6629400" cy="2103120"/>
        </a:xfrm>
        <a:prstGeom prst="roundRect">
          <a:avLst>
            <a:gd name="adj" fmla="val 16205"/>
          </a:avLst>
        </a:prstGeom>
        <a:solidFill>
          <a:schemeClr val="bg2">
            <a:lumMod val="9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551932</xdr:colOff>
      <xdr:row>28</xdr:row>
      <xdr:rowOff>153216</xdr:rowOff>
    </xdr:from>
    <xdr:to>
      <xdr:col>19</xdr:col>
      <xdr:colOff>476186</xdr:colOff>
      <xdr:row>40</xdr:row>
      <xdr:rowOff>134620</xdr:rowOff>
    </xdr:to>
    <xdr:sp macro="" textlink="">
      <xdr:nvSpPr>
        <xdr:cNvPr id="27" name="Rectangle: Rounded Corners 26">
          <a:extLst>
            <a:ext uri="{FF2B5EF4-FFF2-40B4-BE49-F238E27FC236}">
              <a16:creationId xmlns:a16="http://schemas.microsoft.com/office/drawing/2014/main" id="{B8909ACC-CB9E-4AC6-9B90-06E0DAD6262A}"/>
            </a:ext>
          </a:extLst>
        </xdr:cNvPr>
        <xdr:cNvSpPr/>
      </xdr:nvSpPr>
      <xdr:spPr>
        <a:xfrm>
          <a:off x="5428732" y="5487216"/>
          <a:ext cx="6629854" cy="2267404"/>
        </a:xfrm>
        <a:prstGeom prst="roundRect">
          <a:avLst>
            <a:gd name="adj" fmla="val 16205"/>
          </a:avLst>
        </a:prstGeom>
        <a:solidFill>
          <a:schemeClr val="bg2">
            <a:lumMod val="9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542407</xdr:colOff>
      <xdr:row>7</xdr:row>
      <xdr:rowOff>142875</xdr:rowOff>
    </xdr:from>
    <xdr:to>
      <xdr:col>19</xdr:col>
      <xdr:colOff>466207</xdr:colOff>
      <xdr:row>16</xdr:row>
      <xdr:rowOff>170090</xdr:rowOff>
    </xdr:to>
    <xdr:sp macro="" textlink="">
      <xdr:nvSpPr>
        <xdr:cNvPr id="30" name="Rectangle: Rounded Corners 29">
          <a:extLst>
            <a:ext uri="{FF2B5EF4-FFF2-40B4-BE49-F238E27FC236}">
              <a16:creationId xmlns:a16="http://schemas.microsoft.com/office/drawing/2014/main" id="{F723BF1D-8EEA-4CF7-881A-FCDED7096B2B}"/>
            </a:ext>
          </a:extLst>
        </xdr:cNvPr>
        <xdr:cNvSpPr/>
      </xdr:nvSpPr>
      <xdr:spPr>
        <a:xfrm>
          <a:off x="5419207" y="1476375"/>
          <a:ext cx="6629400" cy="1741715"/>
        </a:xfrm>
        <a:prstGeom prst="roundRect">
          <a:avLst>
            <a:gd name="adj" fmla="val 16205"/>
          </a:avLst>
        </a:prstGeom>
        <a:solidFill>
          <a:schemeClr val="tx1">
            <a:lumMod val="50000"/>
            <a:lumOff val="5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17</xdr:row>
      <xdr:rowOff>62593</xdr:rowOff>
    </xdr:from>
    <xdr:to>
      <xdr:col>29</xdr:col>
      <xdr:colOff>6022</xdr:colOff>
      <xdr:row>28</xdr:row>
      <xdr:rowOff>70213</xdr:rowOff>
    </xdr:to>
    <xdr:sp macro="" textlink="">
      <xdr:nvSpPr>
        <xdr:cNvPr id="32" name="Rectangle: Rounded Corners 31">
          <a:extLst>
            <a:ext uri="{FF2B5EF4-FFF2-40B4-BE49-F238E27FC236}">
              <a16:creationId xmlns:a16="http://schemas.microsoft.com/office/drawing/2014/main" id="{7DE78FBF-6809-48AD-A153-6A6D4849371B}"/>
            </a:ext>
          </a:extLst>
        </xdr:cNvPr>
        <xdr:cNvSpPr/>
      </xdr:nvSpPr>
      <xdr:spPr>
        <a:xfrm>
          <a:off x="12124870" y="3301093"/>
          <a:ext cx="5559552" cy="2103120"/>
        </a:xfrm>
        <a:prstGeom prst="roundRect">
          <a:avLst>
            <a:gd name="adj" fmla="val 16205"/>
          </a:avLst>
        </a:prstGeom>
        <a:solidFill>
          <a:schemeClr val="tx1">
            <a:lumMod val="75000"/>
            <a:lumOff val="25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28</xdr:row>
      <xdr:rowOff>153216</xdr:rowOff>
    </xdr:from>
    <xdr:to>
      <xdr:col>29</xdr:col>
      <xdr:colOff>8130</xdr:colOff>
      <xdr:row>40</xdr:row>
      <xdr:rowOff>134620</xdr:rowOff>
    </xdr:to>
    <xdr:sp macro="" textlink="">
      <xdr:nvSpPr>
        <xdr:cNvPr id="33" name="Rectangle: Rounded Corners 32">
          <a:extLst>
            <a:ext uri="{FF2B5EF4-FFF2-40B4-BE49-F238E27FC236}">
              <a16:creationId xmlns:a16="http://schemas.microsoft.com/office/drawing/2014/main" id="{E712F961-AD3B-41D3-A491-BA279792883A}"/>
            </a:ext>
          </a:extLst>
        </xdr:cNvPr>
        <xdr:cNvSpPr/>
      </xdr:nvSpPr>
      <xdr:spPr>
        <a:xfrm>
          <a:off x="12124870" y="5487216"/>
          <a:ext cx="5561660" cy="2267404"/>
        </a:xfrm>
        <a:prstGeom prst="roundRect">
          <a:avLst>
            <a:gd name="adj" fmla="val 16205"/>
          </a:avLst>
        </a:prstGeom>
        <a:solidFill>
          <a:schemeClr val="tx1">
            <a:lumMod val="75000"/>
            <a:lumOff val="25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7</xdr:row>
      <xdr:rowOff>142875</xdr:rowOff>
    </xdr:from>
    <xdr:to>
      <xdr:col>29</xdr:col>
      <xdr:colOff>6022</xdr:colOff>
      <xdr:row>16</xdr:row>
      <xdr:rowOff>170090</xdr:rowOff>
    </xdr:to>
    <xdr:sp macro="" textlink="">
      <xdr:nvSpPr>
        <xdr:cNvPr id="34" name="Rectangle: Rounded Corners 33">
          <a:extLst>
            <a:ext uri="{FF2B5EF4-FFF2-40B4-BE49-F238E27FC236}">
              <a16:creationId xmlns:a16="http://schemas.microsoft.com/office/drawing/2014/main" id="{E8750C69-D62F-4FF8-A37F-BC310A8E1712}"/>
            </a:ext>
          </a:extLst>
        </xdr:cNvPr>
        <xdr:cNvSpPr/>
      </xdr:nvSpPr>
      <xdr:spPr>
        <a:xfrm>
          <a:off x="12124870" y="1476375"/>
          <a:ext cx="5559552" cy="1741715"/>
        </a:xfrm>
        <a:prstGeom prst="roundRect">
          <a:avLst>
            <a:gd name="adj" fmla="val 16205"/>
          </a:avLst>
        </a:prstGeom>
        <a:solidFill>
          <a:schemeClr val="tx1">
            <a:lumMod val="50000"/>
            <a:lumOff val="5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382588</xdr:colOff>
      <xdr:row>16</xdr:row>
      <xdr:rowOff>3175</xdr:rowOff>
    </xdr:from>
    <xdr:to>
      <xdr:col>8</xdr:col>
      <xdr:colOff>244475</xdr:colOff>
      <xdr:row>26</xdr:row>
      <xdr:rowOff>508</xdr:rowOff>
    </xdr:to>
    <xdr:grpSp>
      <xdr:nvGrpSpPr>
        <xdr:cNvPr id="52" name="top table">
          <a:extLst>
            <a:ext uri="{FF2B5EF4-FFF2-40B4-BE49-F238E27FC236}">
              <a16:creationId xmlns:a16="http://schemas.microsoft.com/office/drawing/2014/main" id="{7A8E96E3-AF07-EE3D-2FE0-FB6650A1C8C9}"/>
            </a:ext>
          </a:extLst>
        </xdr:cNvPr>
        <xdr:cNvGrpSpPr/>
      </xdr:nvGrpSpPr>
      <xdr:grpSpPr>
        <a:xfrm>
          <a:off x="2820988" y="3051175"/>
          <a:ext cx="2300287" cy="1902333"/>
          <a:chOff x="2873375" y="2908300"/>
          <a:chExt cx="2300287" cy="1902333"/>
        </a:xfrm>
      </xdr:grpSpPr>
      <xdr:cxnSp macro="">
        <xdr:nvCxnSpPr>
          <xdr:cNvPr id="35" name="Straight Connector 34">
            <a:extLst>
              <a:ext uri="{FF2B5EF4-FFF2-40B4-BE49-F238E27FC236}">
                <a16:creationId xmlns:a16="http://schemas.microsoft.com/office/drawing/2014/main" id="{89493F20-0E87-4E13-81EF-BE9E379493E7}"/>
              </a:ext>
            </a:extLst>
          </xdr:cNvPr>
          <xdr:cNvCxnSpPr/>
        </xdr:nvCxnSpPr>
        <xdr:spPr>
          <a:xfrm>
            <a:off x="2887662" y="3860801"/>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6" name="Straight Connector 35">
            <a:extLst>
              <a:ext uri="{FF2B5EF4-FFF2-40B4-BE49-F238E27FC236}">
                <a16:creationId xmlns:a16="http://schemas.microsoft.com/office/drawing/2014/main" id="{6A090810-72F0-40AB-84E3-9677D8B44581}"/>
              </a:ext>
            </a:extLst>
          </xdr:cNvPr>
          <xdr:cNvCxnSpPr/>
        </xdr:nvCxnSpPr>
        <xdr:spPr>
          <a:xfrm>
            <a:off x="2878137" y="3389313"/>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7" name="Straight Connector 36">
            <a:extLst>
              <a:ext uri="{FF2B5EF4-FFF2-40B4-BE49-F238E27FC236}">
                <a16:creationId xmlns:a16="http://schemas.microsoft.com/office/drawing/2014/main" id="{DCD5083F-1C4B-4A50-8543-1EFFF7695C1A}"/>
              </a:ext>
            </a:extLst>
          </xdr:cNvPr>
          <xdr:cNvCxnSpPr/>
        </xdr:nvCxnSpPr>
        <xdr:spPr>
          <a:xfrm>
            <a:off x="2887662" y="4332289"/>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8" name="Straight Connector 37">
            <a:extLst>
              <a:ext uri="{FF2B5EF4-FFF2-40B4-BE49-F238E27FC236}">
                <a16:creationId xmlns:a16="http://schemas.microsoft.com/office/drawing/2014/main" id="{E10AB6B5-DE75-460F-8587-1014064A1479}"/>
              </a:ext>
            </a:extLst>
          </xdr:cNvPr>
          <xdr:cNvCxnSpPr/>
        </xdr:nvCxnSpPr>
        <xdr:spPr>
          <a:xfrm flipH="1">
            <a:off x="4044950" y="2917825"/>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9" name="Straight Connector 38">
            <a:extLst>
              <a:ext uri="{FF2B5EF4-FFF2-40B4-BE49-F238E27FC236}">
                <a16:creationId xmlns:a16="http://schemas.microsoft.com/office/drawing/2014/main" id="{EC701605-18FE-4306-B642-C740CDE1FBB6}"/>
              </a:ext>
            </a:extLst>
          </xdr:cNvPr>
          <xdr:cNvCxnSpPr/>
        </xdr:nvCxnSpPr>
        <xdr:spPr>
          <a:xfrm>
            <a:off x="2878137" y="4803775"/>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0" name="Straight Connector 39">
            <a:extLst>
              <a:ext uri="{FF2B5EF4-FFF2-40B4-BE49-F238E27FC236}">
                <a16:creationId xmlns:a16="http://schemas.microsoft.com/office/drawing/2014/main" id="{A7615E71-A276-434C-8092-D25060556AE3}"/>
              </a:ext>
            </a:extLst>
          </xdr:cNvPr>
          <xdr:cNvCxnSpPr/>
        </xdr:nvCxnSpPr>
        <xdr:spPr>
          <a:xfrm>
            <a:off x="5168900" y="2913062"/>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1" name="Straight Connector 40">
            <a:extLst>
              <a:ext uri="{FF2B5EF4-FFF2-40B4-BE49-F238E27FC236}">
                <a16:creationId xmlns:a16="http://schemas.microsoft.com/office/drawing/2014/main" id="{2ABDB5B7-7036-4924-92CB-F0F7E900D125}"/>
              </a:ext>
            </a:extLst>
          </xdr:cNvPr>
          <xdr:cNvCxnSpPr/>
        </xdr:nvCxnSpPr>
        <xdr:spPr>
          <a:xfrm>
            <a:off x="2873375" y="2917825"/>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2" name="Straight Connector 41">
            <a:extLst>
              <a:ext uri="{FF2B5EF4-FFF2-40B4-BE49-F238E27FC236}">
                <a16:creationId xmlns:a16="http://schemas.microsoft.com/office/drawing/2014/main" id="{13816A38-B882-4736-B7F9-3C3773C917F3}"/>
              </a:ext>
            </a:extLst>
          </xdr:cNvPr>
          <xdr:cNvCxnSpPr/>
        </xdr:nvCxnSpPr>
        <xdr:spPr>
          <a:xfrm>
            <a:off x="2878137" y="2908300"/>
            <a:ext cx="2286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382588</xdr:colOff>
      <xdr:row>29</xdr:row>
      <xdr:rowOff>165100</xdr:rowOff>
    </xdr:from>
    <xdr:to>
      <xdr:col>8</xdr:col>
      <xdr:colOff>244475</xdr:colOff>
      <xdr:row>39</xdr:row>
      <xdr:rowOff>162433</xdr:rowOff>
    </xdr:to>
    <xdr:grpSp>
      <xdr:nvGrpSpPr>
        <xdr:cNvPr id="51" name="bottom table">
          <a:extLst>
            <a:ext uri="{FF2B5EF4-FFF2-40B4-BE49-F238E27FC236}">
              <a16:creationId xmlns:a16="http://schemas.microsoft.com/office/drawing/2014/main" id="{52C07C4A-4D84-81A5-A0ED-F626E3459042}"/>
            </a:ext>
          </a:extLst>
        </xdr:cNvPr>
        <xdr:cNvGrpSpPr/>
      </xdr:nvGrpSpPr>
      <xdr:grpSpPr>
        <a:xfrm>
          <a:off x="2820988" y="5689600"/>
          <a:ext cx="2300287" cy="1902333"/>
          <a:chOff x="2882899" y="5451475"/>
          <a:chExt cx="2300287" cy="1902333"/>
        </a:xfrm>
      </xdr:grpSpPr>
      <xdr:cxnSp macro="">
        <xdr:nvCxnSpPr>
          <xdr:cNvPr id="43" name="Straight Connector 42">
            <a:extLst>
              <a:ext uri="{FF2B5EF4-FFF2-40B4-BE49-F238E27FC236}">
                <a16:creationId xmlns:a16="http://schemas.microsoft.com/office/drawing/2014/main" id="{676B7DA2-5C87-4660-AAB5-C4E43DD58C1B}"/>
              </a:ext>
            </a:extLst>
          </xdr:cNvPr>
          <xdr:cNvCxnSpPr/>
        </xdr:nvCxnSpPr>
        <xdr:spPr>
          <a:xfrm>
            <a:off x="2897186" y="6403976"/>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4" name="Straight Connector 43">
            <a:extLst>
              <a:ext uri="{FF2B5EF4-FFF2-40B4-BE49-F238E27FC236}">
                <a16:creationId xmlns:a16="http://schemas.microsoft.com/office/drawing/2014/main" id="{1B2919A4-8955-4C3A-9C56-1EA4DD5E3F10}"/>
              </a:ext>
            </a:extLst>
          </xdr:cNvPr>
          <xdr:cNvCxnSpPr/>
        </xdr:nvCxnSpPr>
        <xdr:spPr>
          <a:xfrm>
            <a:off x="2887661" y="5932488"/>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5" name="Straight Connector 44">
            <a:extLst>
              <a:ext uri="{FF2B5EF4-FFF2-40B4-BE49-F238E27FC236}">
                <a16:creationId xmlns:a16="http://schemas.microsoft.com/office/drawing/2014/main" id="{4679F66C-B0DC-467D-AFE9-EC1E3EAA7322}"/>
              </a:ext>
            </a:extLst>
          </xdr:cNvPr>
          <xdr:cNvCxnSpPr/>
        </xdr:nvCxnSpPr>
        <xdr:spPr>
          <a:xfrm>
            <a:off x="2897186" y="6875464"/>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6" name="Straight Connector 45">
            <a:extLst>
              <a:ext uri="{FF2B5EF4-FFF2-40B4-BE49-F238E27FC236}">
                <a16:creationId xmlns:a16="http://schemas.microsoft.com/office/drawing/2014/main" id="{E1D12340-3FCC-4FBB-8ADE-62484C9F1E4A}"/>
              </a:ext>
            </a:extLst>
          </xdr:cNvPr>
          <xdr:cNvCxnSpPr/>
        </xdr:nvCxnSpPr>
        <xdr:spPr>
          <a:xfrm flipH="1">
            <a:off x="4054474" y="5461000"/>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7" name="Straight Connector 46">
            <a:extLst>
              <a:ext uri="{FF2B5EF4-FFF2-40B4-BE49-F238E27FC236}">
                <a16:creationId xmlns:a16="http://schemas.microsoft.com/office/drawing/2014/main" id="{1C269DA0-CF63-4DC3-BBF2-06600C086CEC}"/>
              </a:ext>
            </a:extLst>
          </xdr:cNvPr>
          <xdr:cNvCxnSpPr/>
        </xdr:nvCxnSpPr>
        <xdr:spPr>
          <a:xfrm>
            <a:off x="2887661" y="7346950"/>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8" name="Straight Connector 47">
            <a:extLst>
              <a:ext uri="{FF2B5EF4-FFF2-40B4-BE49-F238E27FC236}">
                <a16:creationId xmlns:a16="http://schemas.microsoft.com/office/drawing/2014/main" id="{BE094661-E9FA-47AB-8D80-E68C2260C17F}"/>
              </a:ext>
            </a:extLst>
          </xdr:cNvPr>
          <xdr:cNvCxnSpPr/>
        </xdr:nvCxnSpPr>
        <xdr:spPr>
          <a:xfrm>
            <a:off x="5178424" y="5456237"/>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9" name="Straight Connector 48">
            <a:extLst>
              <a:ext uri="{FF2B5EF4-FFF2-40B4-BE49-F238E27FC236}">
                <a16:creationId xmlns:a16="http://schemas.microsoft.com/office/drawing/2014/main" id="{C1B364EF-3B50-4062-A065-1DB8CE404F5C}"/>
              </a:ext>
            </a:extLst>
          </xdr:cNvPr>
          <xdr:cNvCxnSpPr/>
        </xdr:nvCxnSpPr>
        <xdr:spPr>
          <a:xfrm>
            <a:off x="2882899" y="5461000"/>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50" name="Straight Connector 49">
            <a:extLst>
              <a:ext uri="{FF2B5EF4-FFF2-40B4-BE49-F238E27FC236}">
                <a16:creationId xmlns:a16="http://schemas.microsoft.com/office/drawing/2014/main" id="{2B24D095-FD0A-45B6-9273-AF65780F757C}"/>
              </a:ext>
            </a:extLst>
          </xdr:cNvPr>
          <xdr:cNvCxnSpPr/>
        </xdr:nvCxnSpPr>
        <xdr:spPr>
          <a:xfrm>
            <a:off x="2887661" y="5451475"/>
            <a:ext cx="2286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6</xdr:col>
      <xdr:colOff>347663</xdr:colOff>
      <xdr:row>16</xdr:row>
      <xdr:rowOff>9525</xdr:rowOff>
    </xdr:from>
    <xdr:to>
      <xdr:col>8</xdr:col>
      <xdr:colOff>223838</xdr:colOff>
      <xdr:row>18</xdr:row>
      <xdr:rowOff>85725</xdr:rowOff>
    </xdr:to>
    <xdr:sp macro="" textlink="">
      <xdr:nvSpPr>
        <xdr:cNvPr id="58" name="TextBox 57">
          <a:extLst>
            <a:ext uri="{FF2B5EF4-FFF2-40B4-BE49-F238E27FC236}">
              <a16:creationId xmlns:a16="http://schemas.microsoft.com/office/drawing/2014/main" id="{8C172166-BC4D-A18F-13D2-4BDC6AD99522}"/>
            </a:ext>
          </a:extLst>
        </xdr:cNvPr>
        <xdr:cNvSpPr txBox="1"/>
      </xdr:nvSpPr>
      <xdr:spPr>
        <a:xfrm>
          <a:off x="4005263" y="30575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65000"/>
                  <a:lumOff val="35000"/>
                </a:schemeClr>
              </a:solidFill>
              <a:latin typeface="Constantia" panose="02030602050306030303" pitchFamily="18" charset="0"/>
            </a:rPr>
            <a:t>Attribute</a:t>
          </a:r>
        </a:p>
      </xdr:txBody>
    </xdr:sp>
    <xdr:clientData/>
  </xdr:twoCellAnchor>
  <xdr:twoCellAnchor>
    <xdr:from>
      <xdr:col>6</xdr:col>
      <xdr:colOff>347663</xdr:colOff>
      <xdr:row>18</xdr:row>
      <xdr:rowOff>98425</xdr:rowOff>
    </xdr:from>
    <xdr:to>
      <xdr:col>8</xdr:col>
      <xdr:colOff>223838</xdr:colOff>
      <xdr:row>20</xdr:row>
      <xdr:rowOff>174625</xdr:rowOff>
    </xdr:to>
    <xdr:sp macro="" textlink="">
      <xdr:nvSpPr>
        <xdr:cNvPr id="59" name="TextBox 58">
          <a:extLst>
            <a:ext uri="{FF2B5EF4-FFF2-40B4-BE49-F238E27FC236}">
              <a16:creationId xmlns:a16="http://schemas.microsoft.com/office/drawing/2014/main" id="{56B769EA-3705-445C-98C9-CFDC18BC2B15}"/>
            </a:ext>
          </a:extLst>
        </xdr:cNvPr>
        <xdr:cNvSpPr txBox="1"/>
      </xdr:nvSpPr>
      <xdr:spPr>
        <a:xfrm>
          <a:off x="4005263" y="35274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Electricity</a:t>
          </a:r>
        </a:p>
      </xdr:txBody>
    </xdr:sp>
    <xdr:clientData/>
  </xdr:twoCellAnchor>
  <xdr:twoCellAnchor>
    <xdr:from>
      <xdr:col>6</xdr:col>
      <xdr:colOff>347663</xdr:colOff>
      <xdr:row>20</xdr:row>
      <xdr:rowOff>187325</xdr:rowOff>
    </xdr:from>
    <xdr:to>
      <xdr:col>8</xdr:col>
      <xdr:colOff>223838</xdr:colOff>
      <xdr:row>23</xdr:row>
      <xdr:rowOff>73025</xdr:rowOff>
    </xdr:to>
    <xdr:sp macro="" textlink="">
      <xdr:nvSpPr>
        <xdr:cNvPr id="60" name="TextBox 59">
          <a:extLst>
            <a:ext uri="{FF2B5EF4-FFF2-40B4-BE49-F238E27FC236}">
              <a16:creationId xmlns:a16="http://schemas.microsoft.com/office/drawing/2014/main" id="{861050F1-A5E6-42C9-A628-37871D1D2A3D}"/>
            </a:ext>
          </a:extLst>
        </xdr:cNvPr>
        <xdr:cNvSpPr txBox="1"/>
      </xdr:nvSpPr>
      <xdr:spPr>
        <a:xfrm>
          <a:off x="4005263" y="39973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Gas</a:t>
          </a:r>
        </a:p>
      </xdr:txBody>
    </xdr:sp>
    <xdr:clientData/>
  </xdr:twoCellAnchor>
  <xdr:twoCellAnchor>
    <xdr:from>
      <xdr:col>6</xdr:col>
      <xdr:colOff>347663</xdr:colOff>
      <xdr:row>23</xdr:row>
      <xdr:rowOff>85725</xdr:rowOff>
    </xdr:from>
    <xdr:to>
      <xdr:col>8</xdr:col>
      <xdr:colOff>223838</xdr:colOff>
      <xdr:row>25</xdr:row>
      <xdr:rowOff>161925</xdr:rowOff>
    </xdr:to>
    <xdr:sp macro="" textlink="">
      <xdr:nvSpPr>
        <xdr:cNvPr id="61" name="TextBox 60">
          <a:extLst>
            <a:ext uri="{FF2B5EF4-FFF2-40B4-BE49-F238E27FC236}">
              <a16:creationId xmlns:a16="http://schemas.microsoft.com/office/drawing/2014/main" id="{E92F2BC2-4CC4-4093-8987-52A02B06C931}"/>
            </a:ext>
          </a:extLst>
        </xdr:cNvPr>
        <xdr:cNvSpPr txBox="1"/>
      </xdr:nvSpPr>
      <xdr:spPr>
        <a:xfrm>
          <a:off x="4005263" y="44672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Water</a:t>
          </a:r>
        </a:p>
      </xdr:txBody>
    </xdr:sp>
    <xdr:clientData/>
  </xdr:twoCellAnchor>
  <xdr:twoCellAnchor>
    <xdr:from>
      <xdr:col>4</xdr:col>
      <xdr:colOff>415925</xdr:colOff>
      <xdr:row>16</xdr:row>
      <xdr:rowOff>3175</xdr:rowOff>
    </xdr:from>
    <xdr:to>
      <xdr:col>6</xdr:col>
      <xdr:colOff>292100</xdr:colOff>
      <xdr:row>18</xdr:row>
      <xdr:rowOff>79375</xdr:rowOff>
    </xdr:to>
    <xdr:sp macro="" textlink="">
      <xdr:nvSpPr>
        <xdr:cNvPr id="62" name="TextBox 61">
          <a:extLst>
            <a:ext uri="{FF2B5EF4-FFF2-40B4-BE49-F238E27FC236}">
              <a16:creationId xmlns:a16="http://schemas.microsoft.com/office/drawing/2014/main" id="{E312864B-43B6-4A4D-BE22-09770482A02D}"/>
            </a:ext>
          </a:extLst>
        </xdr:cNvPr>
        <xdr:cNvSpPr txBox="1"/>
      </xdr:nvSpPr>
      <xdr:spPr>
        <a:xfrm>
          <a:off x="2854325" y="30511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50" b="1">
              <a:solidFill>
                <a:schemeClr val="tx1">
                  <a:lumMod val="65000"/>
                  <a:lumOff val="35000"/>
                </a:schemeClr>
              </a:solidFill>
              <a:latin typeface="Constantia" panose="02030602050306030303" pitchFamily="18" charset="0"/>
            </a:rPr>
            <a:t>Total</a:t>
          </a:r>
          <a:r>
            <a:rPr lang="en-US" sz="1350" b="1" baseline="0">
              <a:solidFill>
                <a:schemeClr val="tx1">
                  <a:lumMod val="65000"/>
                  <a:lumOff val="35000"/>
                </a:schemeClr>
              </a:solidFill>
              <a:latin typeface="Constantia" panose="02030602050306030303" pitchFamily="18" charset="0"/>
            </a:rPr>
            <a:t> Cost</a:t>
          </a:r>
          <a:endParaRPr lang="en-US" sz="1350" b="1">
            <a:solidFill>
              <a:schemeClr val="tx1">
                <a:lumMod val="65000"/>
                <a:lumOff val="35000"/>
              </a:schemeClr>
            </a:solidFill>
            <a:latin typeface="Constantia" panose="02030602050306030303" pitchFamily="18" charset="0"/>
          </a:endParaRPr>
        </a:p>
      </xdr:txBody>
    </xdr:sp>
    <xdr:clientData/>
  </xdr:twoCellAnchor>
  <xdr:twoCellAnchor>
    <xdr:from>
      <xdr:col>4</xdr:col>
      <xdr:colOff>415925</xdr:colOff>
      <xdr:row>18</xdr:row>
      <xdr:rowOff>92075</xdr:rowOff>
    </xdr:from>
    <xdr:to>
      <xdr:col>6</xdr:col>
      <xdr:colOff>323850</xdr:colOff>
      <xdr:row>20</xdr:row>
      <xdr:rowOff>168275</xdr:rowOff>
    </xdr:to>
    <xdr:sp macro="" textlink="overall_analysis!$C$23">
      <xdr:nvSpPr>
        <xdr:cNvPr id="63" name="TextBox 62">
          <a:extLst>
            <a:ext uri="{FF2B5EF4-FFF2-40B4-BE49-F238E27FC236}">
              <a16:creationId xmlns:a16="http://schemas.microsoft.com/office/drawing/2014/main" id="{C69132BB-4A15-4B38-BB47-AAF263F06F18}"/>
            </a:ext>
          </a:extLst>
        </xdr:cNvPr>
        <xdr:cNvSpPr txBox="1"/>
      </xdr:nvSpPr>
      <xdr:spPr>
        <a:xfrm>
          <a:off x="2854325" y="3521075"/>
          <a:ext cx="1127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7CA9CC-EEDC-4AF6-AF5E-55A6CAEEC1D3}" type="TxLink">
            <a:rPr lang="en-US" sz="1400" b="1" i="0" u="none" strike="noStrike">
              <a:solidFill>
                <a:schemeClr val="bg1"/>
              </a:solidFill>
              <a:latin typeface="+mj-lt"/>
            </a:rPr>
            <a:t>$2,025,296</a:t>
          </a:fld>
          <a:endParaRPr lang="en-US" sz="1800" b="1">
            <a:solidFill>
              <a:schemeClr val="bg1"/>
            </a:solidFill>
            <a:latin typeface="+mj-lt"/>
          </a:endParaRPr>
        </a:p>
      </xdr:txBody>
    </xdr:sp>
    <xdr:clientData/>
  </xdr:twoCellAnchor>
  <xdr:twoCellAnchor>
    <xdr:from>
      <xdr:col>4</xdr:col>
      <xdr:colOff>415925</xdr:colOff>
      <xdr:row>20</xdr:row>
      <xdr:rowOff>180975</xdr:rowOff>
    </xdr:from>
    <xdr:to>
      <xdr:col>6</xdr:col>
      <xdr:colOff>323850</xdr:colOff>
      <xdr:row>23</xdr:row>
      <xdr:rowOff>66675</xdr:rowOff>
    </xdr:to>
    <xdr:sp macro="" textlink="overall_analysis!$C$24">
      <xdr:nvSpPr>
        <xdr:cNvPr id="64" name="TextBox 63">
          <a:extLst>
            <a:ext uri="{FF2B5EF4-FFF2-40B4-BE49-F238E27FC236}">
              <a16:creationId xmlns:a16="http://schemas.microsoft.com/office/drawing/2014/main" id="{505332A4-05F9-40C8-8D38-6F949F2DC1B5}"/>
            </a:ext>
          </a:extLst>
        </xdr:cNvPr>
        <xdr:cNvSpPr txBox="1"/>
      </xdr:nvSpPr>
      <xdr:spPr>
        <a:xfrm>
          <a:off x="2854325" y="3990975"/>
          <a:ext cx="1127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16ADD4-4364-49C7-84FC-305E7BF16060}" type="TxLink">
            <a:rPr lang="en-US" sz="1400" b="1" i="0" u="none" strike="noStrike">
              <a:solidFill>
                <a:schemeClr val="bg1"/>
              </a:solidFill>
              <a:latin typeface="Aptos Display (Headings)"/>
            </a:rPr>
            <a:t>$3,011,011</a:t>
          </a:fld>
          <a:endParaRPr lang="en-US" sz="1400" b="1">
            <a:solidFill>
              <a:schemeClr val="bg1"/>
            </a:solidFill>
            <a:latin typeface="Aptos Display (Headings)"/>
          </a:endParaRPr>
        </a:p>
      </xdr:txBody>
    </xdr:sp>
    <xdr:clientData/>
  </xdr:twoCellAnchor>
  <xdr:twoCellAnchor>
    <xdr:from>
      <xdr:col>4</xdr:col>
      <xdr:colOff>415925</xdr:colOff>
      <xdr:row>23</xdr:row>
      <xdr:rowOff>79375</xdr:rowOff>
    </xdr:from>
    <xdr:to>
      <xdr:col>6</xdr:col>
      <xdr:colOff>352425</xdr:colOff>
      <xdr:row>25</xdr:row>
      <xdr:rowOff>155575</xdr:rowOff>
    </xdr:to>
    <xdr:sp macro="" textlink="overall_analysis!$C$25">
      <xdr:nvSpPr>
        <xdr:cNvPr id="65" name="TextBox 64">
          <a:extLst>
            <a:ext uri="{FF2B5EF4-FFF2-40B4-BE49-F238E27FC236}">
              <a16:creationId xmlns:a16="http://schemas.microsoft.com/office/drawing/2014/main" id="{86971784-BDE6-487E-8077-D03D82E15C9C}"/>
            </a:ext>
          </a:extLst>
        </xdr:cNvPr>
        <xdr:cNvSpPr txBox="1"/>
      </xdr:nvSpPr>
      <xdr:spPr>
        <a:xfrm>
          <a:off x="2854325" y="4460875"/>
          <a:ext cx="11557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3B673-4FB0-47C3-B237-CEED3C71D7E3}" type="TxLink">
            <a:rPr lang="en-US" sz="1400" b="1" i="0" u="none" strike="noStrike">
              <a:solidFill>
                <a:schemeClr val="bg1"/>
              </a:solidFill>
              <a:latin typeface="Aptos Display (Headings)"/>
            </a:rPr>
            <a:t>$10,806,192</a:t>
          </a:fld>
          <a:endParaRPr lang="en-US" sz="1400" b="1">
            <a:solidFill>
              <a:schemeClr val="bg1"/>
            </a:solidFill>
            <a:latin typeface="Aptos Display (Headings)"/>
          </a:endParaRPr>
        </a:p>
      </xdr:txBody>
    </xdr:sp>
    <xdr:clientData/>
  </xdr:twoCellAnchor>
  <xdr:twoCellAnchor>
    <xdr:from>
      <xdr:col>6</xdr:col>
      <xdr:colOff>338137</xdr:colOff>
      <xdr:row>29</xdr:row>
      <xdr:rowOff>180975</xdr:rowOff>
    </xdr:from>
    <xdr:to>
      <xdr:col>8</xdr:col>
      <xdr:colOff>214312</xdr:colOff>
      <xdr:row>32</xdr:row>
      <xdr:rowOff>66675</xdr:rowOff>
    </xdr:to>
    <xdr:sp macro="" textlink="">
      <xdr:nvSpPr>
        <xdr:cNvPr id="66" name="TextBox 65">
          <a:extLst>
            <a:ext uri="{FF2B5EF4-FFF2-40B4-BE49-F238E27FC236}">
              <a16:creationId xmlns:a16="http://schemas.microsoft.com/office/drawing/2014/main" id="{8E1A05C0-29A8-4D66-B3D8-54EC9841E27B}"/>
            </a:ext>
          </a:extLst>
        </xdr:cNvPr>
        <xdr:cNvSpPr txBox="1"/>
      </xdr:nvSpPr>
      <xdr:spPr>
        <a:xfrm>
          <a:off x="3995737" y="57054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65000"/>
                  <a:lumOff val="35000"/>
                </a:schemeClr>
              </a:solidFill>
              <a:latin typeface="Constantia" panose="02030602050306030303" pitchFamily="18" charset="0"/>
            </a:rPr>
            <a:t>Attribute</a:t>
          </a:r>
        </a:p>
      </xdr:txBody>
    </xdr:sp>
    <xdr:clientData/>
  </xdr:twoCellAnchor>
  <xdr:twoCellAnchor>
    <xdr:from>
      <xdr:col>6</xdr:col>
      <xdr:colOff>338137</xdr:colOff>
      <xdr:row>32</xdr:row>
      <xdr:rowOff>79375</xdr:rowOff>
    </xdr:from>
    <xdr:to>
      <xdr:col>8</xdr:col>
      <xdr:colOff>214312</xdr:colOff>
      <xdr:row>34</xdr:row>
      <xdr:rowOff>155575</xdr:rowOff>
    </xdr:to>
    <xdr:sp macro="" textlink="">
      <xdr:nvSpPr>
        <xdr:cNvPr id="67" name="TextBox 66">
          <a:extLst>
            <a:ext uri="{FF2B5EF4-FFF2-40B4-BE49-F238E27FC236}">
              <a16:creationId xmlns:a16="http://schemas.microsoft.com/office/drawing/2014/main" id="{362C73A2-77D7-4FA3-A583-86EA317AA85D}"/>
            </a:ext>
          </a:extLst>
        </xdr:cNvPr>
        <xdr:cNvSpPr txBox="1"/>
      </xdr:nvSpPr>
      <xdr:spPr>
        <a:xfrm>
          <a:off x="3995737" y="61753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Electricity</a:t>
          </a:r>
        </a:p>
      </xdr:txBody>
    </xdr:sp>
    <xdr:clientData/>
  </xdr:twoCellAnchor>
  <xdr:twoCellAnchor>
    <xdr:from>
      <xdr:col>6</xdr:col>
      <xdr:colOff>338137</xdr:colOff>
      <xdr:row>34</xdr:row>
      <xdr:rowOff>168275</xdr:rowOff>
    </xdr:from>
    <xdr:to>
      <xdr:col>8</xdr:col>
      <xdr:colOff>214312</xdr:colOff>
      <xdr:row>37</xdr:row>
      <xdr:rowOff>53975</xdr:rowOff>
    </xdr:to>
    <xdr:sp macro="" textlink="">
      <xdr:nvSpPr>
        <xdr:cNvPr id="68" name="TextBox 67">
          <a:extLst>
            <a:ext uri="{FF2B5EF4-FFF2-40B4-BE49-F238E27FC236}">
              <a16:creationId xmlns:a16="http://schemas.microsoft.com/office/drawing/2014/main" id="{23968C43-DB42-4F6E-97AE-407A61400739}"/>
            </a:ext>
          </a:extLst>
        </xdr:cNvPr>
        <xdr:cNvSpPr txBox="1"/>
      </xdr:nvSpPr>
      <xdr:spPr>
        <a:xfrm>
          <a:off x="3995737" y="66452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Gas</a:t>
          </a:r>
        </a:p>
      </xdr:txBody>
    </xdr:sp>
    <xdr:clientData/>
  </xdr:twoCellAnchor>
  <xdr:twoCellAnchor>
    <xdr:from>
      <xdr:col>6</xdr:col>
      <xdr:colOff>338137</xdr:colOff>
      <xdr:row>37</xdr:row>
      <xdr:rowOff>66675</xdr:rowOff>
    </xdr:from>
    <xdr:to>
      <xdr:col>8</xdr:col>
      <xdr:colOff>214312</xdr:colOff>
      <xdr:row>39</xdr:row>
      <xdr:rowOff>142875</xdr:rowOff>
    </xdr:to>
    <xdr:sp macro="" textlink="">
      <xdr:nvSpPr>
        <xdr:cNvPr id="69" name="TextBox 68">
          <a:extLst>
            <a:ext uri="{FF2B5EF4-FFF2-40B4-BE49-F238E27FC236}">
              <a16:creationId xmlns:a16="http://schemas.microsoft.com/office/drawing/2014/main" id="{983AFB77-E35C-4E9E-A638-E760922ADBF6}"/>
            </a:ext>
          </a:extLst>
        </xdr:cNvPr>
        <xdr:cNvSpPr txBox="1"/>
      </xdr:nvSpPr>
      <xdr:spPr>
        <a:xfrm>
          <a:off x="3995737" y="71151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Water</a:t>
          </a:r>
        </a:p>
      </xdr:txBody>
    </xdr:sp>
    <xdr:clientData/>
  </xdr:twoCellAnchor>
  <xdr:twoCellAnchor>
    <xdr:from>
      <xdr:col>4</xdr:col>
      <xdr:colOff>406399</xdr:colOff>
      <xdr:row>29</xdr:row>
      <xdr:rowOff>174625</xdr:rowOff>
    </xdr:from>
    <xdr:to>
      <xdr:col>6</xdr:col>
      <xdr:colOff>282574</xdr:colOff>
      <xdr:row>32</xdr:row>
      <xdr:rowOff>60325</xdr:rowOff>
    </xdr:to>
    <xdr:sp macro="" textlink="">
      <xdr:nvSpPr>
        <xdr:cNvPr id="70" name="TextBox 69">
          <a:extLst>
            <a:ext uri="{FF2B5EF4-FFF2-40B4-BE49-F238E27FC236}">
              <a16:creationId xmlns:a16="http://schemas.microsoft.com/office/drawing/2014/main" id="{9372442B-5DB5-4838-8B96-E59DAC181C94}"/>
            </a:ext>
          </a:extLst>
        </xdr:cNvPr>
        <xdr:cNvSpPr txBox="1"/>
      </xdr:nvSpPr>
      <xdr:spPr>
        <a:xfrm>
          <a:off x="2844799" y="56991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65000"/>
                  <a:lumOff val="35000"/>
                </a:schemeClr>
              </a:solidFill>
              <a:latin typeface="Constantia" panose="02030602050306030303" pitchFamily="18" charset="0"/>
            </a:rPr>
            <a:t>Total</a:t>
          </a:r>
          <a:r>
            <a:rPr lang="en-US" sz="1100" b="1" baseline="0">
              <a:solidFill>
                <a:schemeClr val="tx1">
                  <a:lumMod val="65000"/>
                  <a:lumOff val="35000"/>
                </a:schemeClr>
              </a:solidFill>
              <a:latin typeface="Constantia" panose="02030602050306030303" pitchFamily="18" charset="0"/>
            </a:rPr>
            <a:t> Consumption</a:t>
          </a:r>
          <a:endParaRPr lang="en-US" sz="1100" b="1">
            <a:solidFill>
              <a:schemeClr val="tx1">
                <a:lumMod val="65000"/>
                <a:lumOff val="35000"/>
              </a:schemeClr>
            </a:solidFill>
            <a:latin typeface="Constantia" panose="02030602050306030303" pitchFamily="18" charset="0"/>
          </a:endParaRPr>
        </a:p>
      </xdr:txBody>
    </xdr:sp>
    <xdr:clientData/>
  </xdr:twoCellAnchor>
  <xdr:twoCellAnchor>
    <xdr:from>
      <xdr:col>4</xdr:col>
      <xdr:colOff>406399</xdr:colOff>
      <xdr:row>32</xdr:row>
      <xdr:rowOff>73025</xdr:rowOff>
    </xdr:from>
    <xdr:to>
      <xdr:col>6</xdr:col>
      <xdr:colOff>282574</xdr:colOff>
      <xdr:row>34</xdr:row>
      <xdr:rowOff>149225</xdr:rowOff>
    </xdr:to>
    <xdr:sp macro="" textlink="overall_analysis!$F$23">
      <xdr:nvSpPr>
        <xdr:cNvPr id="71" name="TextBox 70">
          <a:extLst>
            <a:ext uri="{FF2B5EF4-FFF2-40B4-BE49-F238E27FC236}">
              <a16:creationId xmlns:a16="http://schemas.microsoft.com/office/drawing/2014/main" id="{0DBED322-6F5B-4E72-AB15-281A68E7199E}"/>
            </a:ext>
          </a:extLst>
        </xdr:cNvPr>
        <xdr:cNvSpPr txBox="1"/>
      </xdr:nvSpPr>
      <xdr:spPr>
        <a:xfrm>
          <a:off x="2844799" y="61690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466D5D-61B8-4E73-B4A8-40A8C938E163}" type="TxLink">
            <a:rPr lang="en-US" sz="1200" b="1" i="0" u="none" strike="noStrike">
              <a:solidFill>
                <a:schemeClr val="bg1"/>
              </a:solidFill>
              <a:latin typeface="Aptos Display (Headings)"/>
            </a:rPr>
            <a:t>21,666,978</a:t>
          </a:fld>
          <a:endParaRPr lang="en-US" sz="1600" b="1">
            <a:solidFill>
              <a:schemeClr val="bg1"/>
            </a:solidFill>
            <a:latin typeface="Aptos Display (Headings)"/>
          </a:endParaRPr>
        </a:p>
      </xdr:txBody>
    </xdr:sp>
    <xdr:clientData/>
  </xdr:twoCellAnchor>
  <xdr:twoCellAnchor>
    <xdr:from>
      <xdr:col>4</xdr:col>
      <xdr:colOff>406399</xdr:colOff>
      <xdr:row>34</xdr:row>
      <xdr:rowOff>161925</xdr:rowOff>
    </xdr:from>
    <xdr:to>
      <xdr:col>6</xdr:col>
      <xdr:colOff>282574</xdr:colOff>
      <xdr:row>37</xdr:row>
      <xdr:rowOff>47625</xdr:rowOff>
    </xdr:to>
    <xdr:sp macro="" textlink="overall_analysis!$F$24">
      <xdr:nvSpPr>
        <xdr:cNvPr id="72" name="TextBox 71">
          <a:extLst>
            <a:ext uri="{FF2B5EF4-FFF2-40B4-BE49-F238E27FC236}">
              <a16:creationId xmlns:a16="http://schemas.microsoft.com/office/drawing/2014/main" id="{F4D0EA0E-07D9-4F9F-B3BD-E10B5EA7E0E0}"/>
            </a:ext>
          </a:extLst>
        </xdr:cNvPr>
        <xdr:cNvSpPr txBox="1"/>
      </xdr:nvSpPr>
      <xdr:spPr>
        <a:xfrm>
          <a:off x="2844799" y="66389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045D64-C56D-4D8A-9ED4-D5AF2145B873}" type="TxLink">
            <a:rPr lang="en-US" sz="1200" b="1" i="0" u="none" strike="noStrike">
              <a:solidFill>
                <a:schemeClr val="bg1"/>
              </a:solidFill>
              <a:latin typeface="Aptos Display (Headings)"/>
            </a:rPr>
            <a:t>2,553,088</a:t>
          </a:fld>
          <a:endParaRPr lang="en-US" sz="1600" b="1">
            <a:solidFill>
              <a:schemeClr val="bg1"/>
            </a:solidFill>
            <a:latin typeface="Aptos Display (Headings)"/>
          </a:endParaRPr>
        </a:p>
      </xdr:txBody>
    </xdr:sp>
    <xdr:clientData/>
  </xdr:twoCellAnchor>
  <xdr:twoCellAnchor>
    <xdr:from>
      <xdr:col>4</xdr:col>
      <xdr:colOff>406399</xdr:colOff>
      <xdr:row>37</xdr:row>
      <xdr:rowOff>60325</xdr:rowOff>
    </xdr:from>
    <xdr:to>
      <xdr:col>6</xdr:col>
      <xdr:colOff>282574</xdr:colOff>
      <xdr:row>39</xdr:row>
      <xdr:rowOff>136525</xdr:rowOff>
    </xdr:to>
    <xdr:sp macro="" textlink="overall_analysis!$F$25">
      <xdr:nvSpPr>
        <xdr:cNvPr id="73" name="TextBox 72">
          <a:extLst>
            <a:ext uri="{FF2B5EF4-FFF2-40B4-BE49-F238E27FC236}">
              <a16:creationId xmlns:a16="http://schemas.microsoft.com/office/drawing/2014/main" id="{2FF79A61-A6E3-45B4-9421-99C5F4582AA3}"/>
            </a:ext>
          </a:extLst>
        </xdr:cNvPr>
        <xdr:cNvSpPr txBox="1"/>
      </xdr:nvSpPr>
      <xdr:spPr>
        <a:xfrm>
          <a:off x="2844799" y="71088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5407CE-8B07-4582-BD08-5EBFE677716E}" type="TxLink">
            <a:rPr lang="en-US" sz="1200" b="1" i="0" u="none" strike="noStrike">
              <a:solidFill>
                <a:schemeClr val="bg1"/>
              </a:solidFill>
              <a:latin typeface="Aptos Display (Headings)"/>
            </a:rPr>
            <a:t>186,245,327</a:t>
          </a:fld>
          <a:endParaRPr lang="en-US" sz="1600" b="1">
            <a:solidFill>
              <a:schemeClr val="bg1"/>
            </a:solidFill>
            <a:latin typeface="Aptos Display (Headings)"/>
          </a:endParaRPr>
        </a:p>
      </xdr:txBody>
    </xdr:sp>
    <xdr:clientData/>
  </xdr:twoCellAnchor>
  <xdr:twoCellAnchor>
    <xdr:from>
      <xdr:col>0</xdr:col>
      <xdr:colOff>177801</xdr:colOff>
      <xdr:row>13</xdr:row>
      <xdr:rowOff>190499</xdr:rowOff>
    </xdr:from>
    <xdr:to>
      <xdr:col>5</xdr:col>
      <xdr:colOff>1</xdr:colOff>
      <xdr:row>27</xdr:row>
      <xdr:rowOff>174624</xdr:rowOff>
    </xdr:to>
    <xdr:graphicFrame macro="">
      <xdr:nvGraphicFramePr>
        <xdr:cNvPr id="74" name="Chart 73">
          <a:extLst>
            <a:ext uri="{FF2B5EF4-FFF2-40B4-BE49-F238E27FC236}">
              <a16:creationId xmlns:a16="http://schemas.microsoft.com/office/drawing/2014/main" id="{4675095A-F923-441E-9C09-D6CBDED32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292100</xdr:colOff>
      <xdr:row>19</xdr:row>
      <xdr:rowOff>136525</xdr:rowOff>
    </xdr:from>
    <xdr:to>
      <xdr:col>3</xdr:col>
      <xdr:colOff>168275</xdr:colOff>
      <xdr:row>22</xdr:row>
      <xdr:rowOff>22225</xdr:rowOff>
    </xdr:to>
    <xdr:sp macro="" textlink="">
      <xdr:nvSpPr>
        <xdr:cNvPr id="75" name="TextBox 74">
          <a:extLst>
            <a:ext uri="{FF2B5EF4-FFF2-40B4-BE49-F238E27FC236}">
              <a16:creationId xmlns:a16="http://schemas.microsoft.com/office/drawing/2014/main" id="{C1EED9DF-AC5F-4E9E-8D4D-7B4F65FD2824}"/>
            </a:ext>
          </a:extLst>
        </xdr:cNvPr>
        <xdr:cNvSpPr txBox="1"/>
      </xdr:nvSpPr>
      <xdr:spPr>
        <a:xfrm>
          <a:off x="901700" y="37560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Constantia" panose="02030602050306030303" pitchFamily="18" charset="0"/>
            </a:rPr>
            <a:t>Price Percentage</a:t>
          </a:r>
        </a:p>
      </xdr:txBody>
    </xdr:sp>
    <xdr:clientData/>
  </xdr:twoCellAnchor>
  <xdr:twoCellAnchor>
    <xdr:from>
      <xdr:col>4</xdr:col>
      <xdr:colOff>371475</xdr:colOff>
      <xdr:row>13</xdr:row>
      <xdr:rowOff>133349</xdr:rowOff>
    </xdr:from>
    <xdr:to>
      <xdr:col>8</xdr:col>
      <xdr:colOff>190500</xdr:colOff>
      <xdr:row>15</xdr:row>
      <xdr:rowOff>117474</xdr:rowOff>
    </xdr:to>
    <xdr:sp macro="" textlink="">
      <xdr:nvSpPr>
        <xdr:cNvPr id="76" name="TextBox 75">
          <a:extLst>
            <a:ext uri="{FF2B5EF4-FFF2-40B4-BE49-F238E27FC236}">
              <a16:creationId xmlns:a16="http://schemas.microsoft.com/office/drawing/2014/main" id="{9CE072A6-0F4D-4D2B-AB85-A15F44C8452B}"/>
            </a:ext>
          </a:extLst>
        </xdr:cNvPr>
        <xdr:cNvSpPr txBox="1"/>
      </xdr:nvSpPr>
      <xdr:spPr>
        <a:xfrm>
          <a:off x="2809875" y="2609849"/>
          <a:ext cx="22574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Financial</a:t>
          </a:r>
          <a:r>
            <a:rPr lang="en-US" sz="1400" b="1" baseline="0">
              <a:solidFill>
                <a:schemeClr val="bg1"/>
              </a:solidFill>
              <a:latin typeface="Constantia" panose="02030602050306030303" pitchFamily="18" charset="0"/>
            </a:rPr>
            <a:t> Outflow</a:t>
          </a:r>
          <a:endParaRPr lang="en-US" sz="1400" b="1">
            <a:solidFill>
              <a:schemeClr val="bg1"/>
            </a:solidFill>
            <a:latin typeface="Constantia" panose="02030602050306030303" pitchFamily="18" charset="0"/>
          </a:endParaRPr>
        </a:p>
      </xdr:txBody>
    </xdr:sp>
    <xdr:clientData/>
  </xdr:twoCellAnchor>
  <xdr:twoCellAnchor>
    <xdr:from>
      <xdr:col>4</xdr:col>
      <xdr:colOff>285750</xdr:colOff>
      <xdr:row>27</xdr:row>
      <xdr:rowOff>95249</xdr:rowOff>
    </xdr:from>
    <xdr:to>
      <xdr:col>8</xdr:col>
      <xdr:colOff>219075</xdr:colOff>
      <xdr:row>29</xdr:row>
      <xdr:rowOff>79374</xdr:rowOff>
    </xdr:to>
    <xdr:sp macro="" textlink="">
      <xdr:nvSpPr>
        <xdr:cNvPr id="77" name="TextBox 76">
          <a:extLst>
            <a:ext uri="{FF2B5EF4-FFF2-40B4-BE49-F238E27FC236}">
              <a16:creationId xmlns:a16="http://schemas.microsoft.com/office/drawing/2014/main" id="{E3728874-40DD-4F81-AC10-AA76EB18E551}"/>
            </a:ext>
          </a:extLst>
        </xdr:cNvPr>
        <xdr:cNvSpPr txBox="1"/>
      </xdr:nvSpPr>
      <xdr:spPr>
        <a:xfrm>
          <a:off x="2724150" y="5238749"/>
          <a:ext cx="23717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Energy Mix Consumption</a:t>
          </a:r>
        </a:p>
      </xdr:txBody>
    </xdr:sp>
    <xdr:clientData/>
  </xdr:twoCellAnchor>
  <xdr:twoCellAnchor>
    <xdr:from>
      <xdr:col>0</xdr:col>
      <xdr:colOff>177799</xdr:colOff>
      <xdr:row>27</xdr:row>
      <xdr:rowOff>50800</xdr:rowOff>
    </xdr:from>
    <xdr:to>
      <xdr:col>5</xdr:col>
      <xdr:colOff>19050</xdr:colOff>
      <xdr:row>41</xdr:row>
      <xdr:rowOff>127000</xdr:rowOff>
    </xdr:to>
    <xdr:graphicFrame macro="">
      <xdr:nvGraphicFramePr>
        <xdr:cNvPr id="78" name="Chart 77">
          <a:extLst>
            <a:ext uri="{FF2B5EF4-FFF2-40B4-BE49-F238E27FC236}">
              <a16:creationId xmlns:a16="http://schemas.microsoft.com/office/drawing/2014/main" id="{9621CA46-42DD-40A2-B8DE-8637C18A0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542406</xdr:colOff>
      <xdr:row>7</xdr:row>
      <xdr:rowOff>142874</xdr:rowOff>
    </xdr:from>
    <xdr:to>
      <xdr:col>19</xdr:col>
      <xdr:colOff>457199</xdr:colOff>
      <xdr:row>16</xdr:row>
      <xdr:rowOff>174878</xdr:rowOff>
    </xdr:to>
    <xdr:graphicFrame macro="">
      <xdr:nvGraphicFramePr>
        <xdr:cNvPr id="79" name="Chart 78">
          <a:extLst>
            <a:ext uri="{FF2B5EF4-FFF2-40B4-BE49-F238E27FC236}">
              <a16:creationId xmlns:a16="http://schemas.microsoft.com/office/drawing/2014/main" id="{3E6041A8-8A68-4DFA-B72E-3D9E34534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542469</xdr:colOff>
      <xdr:row>7</xdr:row>
      <xdr:rowOff>133350</xdr:rowOff>
    </xdr:from>
    <xdr:to>
      <xdr:col>29</xdr:col>
      <xdr:colOff>9525</xdr:colOff>
      <xdr:row>16</xdr:row>
      <xdr:rowOff>161925</xdr:rowOff>
    </xdr:to>
    <xdr:graphicFrame macro="">
      <xdr:nvGraphicFramePr>
        <xdr:cNvPr id="80" name="Chart 79">
          <a:extLst>
            <a:ext uri="{FF2B5EF4-FFF2-40B4-BE49-F238E27FC236}">
              <a16:creationId xmlns:a16="http://schemas.microsoft.com/office/drawing/2014/main" id="{AC0D0334-007B-4328-A379-4AFBD34BF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551932</xdr:colOff>
      <xdr:row>17</xdr:row>
      <xdr:rowOff>62593</xdr:rowOff>
    </xdr:from>
    <xdr:to>
      <xdr:col>19</xdr:col>
      <xdr:colOff>476250</xdr:colOff>
      <xdr:row>28</xdr:row>
      <xdr:rowOff>57150</xdr:rowOff>
    </xdr:to>
    <xdr:graphicFrame macro="">
      <xdr:nvGraphicFramePr>
        <xdr:cNvPr id="81" name="Chart 80">
          <a:extLst>
            <a:ext uri="{FF2B5EF4-FFF2-40B4-BE49-F238E27FC236}">
              <a16:creationId xmlns:a16="http://schemas.microsoft.com/office/drawing/2014/main" id="{444BBB04-4E08-42B6-BA1A-4ECCF30D7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542469</xdr:colOff>
      <xdr:row>17</xdr:row>
      <xdr:rowOff>62593</xdr:rowOff>
    </xdr:from>
    <xdr:to>
      <xdr:col>29</xdr:col>
      <xdr:colOff>9524</xdr:colOff>
      <xdr:row>28</xdr:row>
      <xdr:rowOff>57150</xdr:rowOff>
    </xdr:to>
    <xdr:graphicFrame macro="">
      <xdr:nvGraphicFramePr>
        <xdr:cNvPr id="82" name="Chart 81">
          <a:extLst>
            <a:ext uri="{FF2B5EF4-FFF2-40B4-BE49-F238E27FC236}">
              <a16:creationId xmlns:a16="http://schemas.microsoft.com/office/drawing/2014/main" id="{3CDBF6EB-E35F-4E7A-BC6F-CFC2B4AF7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551932</xdr:colOff>
      <xdr:row>28</xdr:row>
      <xdr:rowOff>153216</xdr:rowOff>
    </xdr:from>
    <xdr:to>
      <xdr:col>19</xdr:col>
      <xdr:colOff>476250</xdr:colOff>
      <xdr:row>40</xdr:row>
      <xdr:rowOff>142875</xdr:rowOff>
    </xdr:to>
    <xdr:graphicFrame macro="">
      <xdr:nvGraphicFramePr>
        <xdr:cNvPr id="83" name="Chart 82">
          <a:extLst>
            <a:ext uri="{FF2B5EF4-FFF2-40B4-BE49-F238E27FC236}">
              <a16:creationId xmlns:a16="http://schemas.microsoft.com/office/drawing/2014/main" id="{AD68FEF4-3E40-4C52-8179-167053715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542470</xdr:colOff>
      <xdr:row>28</xdr:row>
      <xdr:rowOff>153216</xdr:rowOff>
    </xdr:from>
    <xdr:to>
      <xdr:col>29</xdr:col>
      <xdr:colOff>0</xdr:colOff>
      <xdr:row>40</xdr:row>
      <xdr:rowOff>133350</xdr:rowOff>
    </xdr:to>
    <xdr:graphicFrame macro="">
      <xdr:nvGraphicFramePr>
        <xdr:cNvPr id="84" name="Chart 83">
          <a:extLst>
            <a:ext uri="{FF2B5EF4-FFF2-40B4-BE49-F238E27FC236}">
              <a16:creationId xmlns:a16="http://schemas.microsoft.com/office/drawing/2014/main" id="{4E29B11F-A9EE-4DBE-83EB-508095E05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514350</xdr:colOff>
      <xdr:row>8</xdr:row>
      <xdr:rowOff>19050</xdr:rowOff>
    </xdr:from>
    <xdr:to>
      <xdr:col>8</xdr:col>
      <xdr:colOff>453390</xdr:colOff>
      <xdr:row>10</xdr:row>
      <xdr:rowOff>186690</xdr:rowOff>
    </xdr:to>
    <xdr:pic>
      <xdr:nvPicPr>
        <xdr:cNvPr id="86" name="Graphic 85" descr="Dollar with solid fill">
          <a:extLst>
            <a:ext uri="{FF2B5EF4-FFF2-40B4-BE49-F238E27FC236}">
              <a16:creationId xmlns:a16="http://schemas.microsoft.com/office/drawing/2014/main" id="{DE03D53B-DFDA-B4EC-AAC1-33671BD21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81550" y="1543050"/>
          <a:ext cx="548640" cy="548640"/>
        </a:xfrm>
        <a:prstGeom prst="rect">
          <a:avLst/>
        </a:prstGeom>
      </xdr:spPr>
    </xdr:pic>
    <xdr:clientData/>
  </xdr:twoCellAnchor>
  <xdr:twoCellAnchor editAs="oneCell">
    <xdr:from>
      <xdr:col>0</xdr:col>
      <xdr:colOff>119025</xdr:colOff>
      <xdr:row>8</xdr:row>
      <xdr:rowOff>71400</xdr:rowOff>
    </xdr:from>
    <xdr:to>
      <xdr:col>1</xdr:col>
      <xdr:colOff>295275</xdr:colOff>
      <xdr:row>12</xdr:row>
      <xdr:rowOff>95250</xdr:rowOff>
    </xdr:to>
    <xdr:pic>
      <xdr:nvPicPr>
        <xdr:cNvPr id="90" name="Graphic 89" descr="Building with solid fill">
          <a:extLst>
            <a:ext uri="{FF2B5EF4-FFF2-40B4-BE49-F238E27FC236}">
              <a16:creationId xmlns:a16="http://schemas.microsoft.com/office/drawing/2014/main" id="{0D64F664-7089-7CBC-4EAD-39B839E459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025" y="1595400"/>
          <a:ext cx="785850" cy="785850"/>
        </a:xfrm>
        <a:prstGeom prst="rect">
          <a:avLst/>
        </a:prstGeom>
      </xdr:spPr>
    </xdr:pic>
    <xdr:clientData/>
  </xdr:twoCellAnchor>
  <xdr:twoCellAnchor>
    <xdr:from>
      <xdr:col>1</xdr:col>
      <xdr:colOff>127789</xdr:colOff>
      <xdr:row>8</xdr:row>
      <xdr:rowOff>52388</xdr:rowOff>
    </xdr:from>
    <xdr:to>
      <xdr:col>2</xdr:col>
      <xdr:colOff>511964</xdr:colOff>
      <xdr:row>9</xdr:row>
      <xdr:rowOff>131763</xdr:rowOff>
    </xdr:to>
    <xdr:sp macro="" textlink="">
      <xdr:nvSpPr>
        <xdr:cNvPr id="92" name="TextBox 91">
          <a:extLst>
            <a:ext uri="{FF2B5EF4-FFF2-40B4-BE49-F238E27FC236}">
              <a16:creationId xmlns:a16="http://schemas.microsoft.com/office/drawing/2014/main" id="{49D135B2-C17A-4DF9-B703-E246D7546445}"/>
            </a:ext>
          </a:extLst>
        </xdr:cNvPr>
        <xdr:cNvSpPr txBox="1"/>
      </xdr:nvSpPr>
      <xdr:spPr>
        <a:xfrm>
          <a:off x="737389" y="1576388"/>
          <a:ext cx="9937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onstantia" panose="02030602050306030303" pitchFamily="18" charset="0"/>
            </a:rPr>
            <a:t>Buildings</a:t>
          </a:r>
        </a:p>
      </xdr:txBody>
    </xdr:sp>
    <xdr:clientData/>
  </xdr:twoCellAnchor>
  <xdr:twoCellAnchor>
    <xdr:from>
      <xdr:col>3</xdr:col>
      <xdr:colOff>111009</xdr:colOff>
      <xdr:row>8</xdr:row>
      <xdr:rowOff>52388</xdr:rowOff>
    </xdr:from>
    <xdr:to>
      <xdr:col>5</xdr:col>
      <xdr:colOff>95251</xdr:colOff>
      <xdr:row>9</xdr:row>
      <xdr:rowOff>131763</xdr:rowOff>
    </xdr:to>
    <xdr:sp macro="" textlink="">
      <xdr:nvSpPr>
        <xdr:cNvPr id="93" name="TextBox 92">
          <a:extLst>
            <a:ext uri="{FF2B5EF4-FFF2-40B4-BE49-F238E27FC236}">
              <a16:creationId xmlns:a16="http://schemas.microsoft.com/office/drawing/2014/main" id="{0A4FF3F6-BE62-495F-9241-4B9561E19398}"/>
            </a:ext>
          </a:extLst>
        </xdr:cNvPr>
        <xdr:cNvSpPr txBox="1"/>
      </xdr:nvSpPr>
      <xdr:spPr>
        <a:xfrm>
          <a:off x="1939809" y="1576388"/>
          <a:ext cx="1203442"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onstantia" panose="02030602050306030303" pitchFamily="18" charset="0"/>
            </a:rPr>
            <a:t>Consumption</a:t>
          </a:r>
        </a:p>
      </xdr:txBody>
    </xdr:sp>
    <xdr:clientData/>
  </xdr:twoCellAnchor>
  <xdr:twoCellAnchor>
    <xdr:from>
      <xdr:col>6</xdr:col>
      <xdr:colOff>400052</xdr:colOff>
      <xdr:row>8</xdr:row>
      <xdr:rowOff>52388</xdr:rowOff>
    </xdr:from>
    <xdr:to>
      <xdr:col>7</xdr:col>
      <xdr:colOff>485776</xdr:colOff>
      <xdr:row>9</xdr:row>
      <xdr:rowOff>131763</xdr:rowOff>
    </xdr:to>
    <xdr:sp macro="" textlink="">
      <xdr:nvSpPr>
        <xdr:cNvPr id="94" name="TextBox 93">
          <a:extLst>
            <a:ext uri="{FF2B5EF4-FFF2-40B4-BE49-F238E27FC236}">
              <a16:creationId xmlns:a16="http://schemas.microsoft.com/office/drawing/2014/main" id="{0373F836-199A-4AD0-99CE-FD8E38B45962}"/>
            </a:ext>
          </a:extLst>
        </xdr:cNvPr>
        <xdr:cNvSpPr txBox="1"/>
      </xdr:nvSpPr>
      <xdr:spPr>
        <a:xfrm>
          <a:off x="4057652" y="1576388"/>
          <a:ext cx="695324"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onstantia" panose="02030602050306030303" pitchFamily="18" charset="0"/>
            </a:rPr>
            <a:t>Bills</a:t>
          </a:r>
        </a:p>
      </xdr:txBody>
    </xdr:sp>
    <xdr:clientData/>
  </xdr:twoCellAnchor>
  <xdr:twoCellAnchor>
    <xdr:from>
      <xdr:col>1</xdr:col>
      <xdr:colOff>94451</xdr:colOff>
      <xdr:row>10</xdr:row>
      <xdr:rowOff>85726</xdr:rowOff>
    </xdr:from>
    <xdr:to>
      <xdr:col>2</xdr:col>
      <xdr:colOff>545301</xdr:colOff>
      <xdr:row>12</xdr:row>
      <xdr:rowOff>85726</xdr:rowOff>
    </xdr:to>
    <xdr:sp macro="" textlink="overall_analysis!$A$4">
      <xdr:nvSpPr>
        <xdr:cNvPr id="95" name="TextBox 94">
          <a:extLst>
            <a:ext uri="{FF2B5EF4-FFF2-40B4-BE49-F238E27FC236}">
              <a16:creationId xmlns:a16="http://schemas.microsoft.com/office/drawing/2014/main" id="{E654B3B7-D13A-4332-B040-2524106A16F4}"/>
            </a:ext>
          </a:extLst>
        </xdr:cNvPr>
        <xdr:cNvSpPr txBox="1"/>
      </xdr:nvSpPr>
      <xdr:spPr>
        <a:xfrm>
          <a:off x="704051" y="1990726"/>
          <a:ext cx="10604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AE9418-07BD-4770-94F1-CA76B94E2764}" type="TxLink">
            <a:rPr lang="en-US" sz="2000" b="1" i="0" u="none" strike="noStrike">
              <a:solidFill>
                <a:srgbClr val="000000"/>
              </a:solidFill>
              <a:latin typeface="Aptos Narrow"/>
            </a:rPr>
            <a:t>11</a:t>
          </a:fld>
          <a:endParaRPr lang="en-US" sz="2800" b="1">
            <a:latin typeface="Constantia" panose="02030602050306030303" pitchFamily="18" charset="0"/>
          </a:endParaRPr>
        </a:p>
      </xdr:txBody>
    </xdr:sp>
    <xdr:clientData/>
  </xdr:twoCellAnchor>
  <xdr:twoCellAnchor>
    <xdr:from>
      <xdr:col>3</xdr:col>
      <xdr:colOff>152400</xdr:colOff>
      <xdr:row>10</xdr:row>
      <xdr:rowOff>38100</xdr:rowOff>
    </xdr:from>
    <xdr:to>
      <xdr:col>5</xdr:col>
      <xdr:colOff>523875</xdr:colOff>
      <xdr:row>11</xdr:row>
      <xdr:rowOff>117475</xdr:rowOff>
    </xdr:to>
    <xdr:sp macro="" textlink="overall_analysis!$E$4">
      <xdr:nvSpPr>
        <xdr:cNvPr id="96" name="TextBox 95">
          <a:extLst>
            <a:ext uri="{FF2B5EF4-FFF2-40B4-BE49-F238E27FC236}">
              <a16:creationId xmlns:a16="http://schemas.microsoft.com/office/drawing/2014/main" id="{D61D2ACD-8B96-4B09-99CA-416A7A582926}"/>
            </a:ext>
          </a:extLst>
        </xdr:cNvPr>
        <xdr:cNvSpPr txBox="1"/>
      </xdr:nvSpPr>
      <xdr:spPr>
        <a:xfrm>
          <a:off x="1981200" y="1943100"/>
          <a:ext cx="15906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FC76EF6-5797-4067-AFEB-757DB188C526}" type="TxLink">
            <a:rPr lang="en-US" sz="1200" b="1" i="0" u="none" strike="noStrike">
              <a:solidFill>
                <a:srgbClr val="000000"/>
              </a:solidFill>
              <a:latin typeface="Aptos Narrow"/>
            </a:rPr>
            <a:pPr algn="l"/>
            <a:t>Total: 210.47M</a:t>
          </a:fld>
          <a:endParaRPr lang="en-US" sz="1600" b="1">
            <a:latin typeface="Constantia" panose="02030602050306030303" pitchFamily="18" charset="0"/>
          </a:endParaRPr>
        </a:p>
      </xdr:txBody>
    </xdr:sp>
    <xdr:clientData/>
  </xdr:twoCellAnchor>
  <xdr:twoCellAnchor>
    <xdr:from>
      <xdr:col>6</xdr:col>
      <xdr:colOff>123826</xdr:colOff>
      <xdr:row>10</xdr:row>
      <xdr:rowOff>38100</xdr:rowOff>
    </xdr:from>
    <xdr:to>
      <xdr:col>8</xdr:col>
      <xdr:colOff>66675</xdr:colOff>
      <xdr:row>11</xdr:row>
      <xdr:rowOff>117475</xdr:rowOff>
    </xdr:to>
    <xdr:sp macro="" textlink="overall_analysis!$C$4">
      <xdr:nvSpPr>
        <xdr:cNvPr id="97" name="TextBox 96">
          <a:extLst>
            <a:ext uri="{FF2B5EF4-FFF2-40B4-BE49-F238E27FC236}">
              <a16:creationId xmlns:a16="http://schemas.microsoft.com/office/drawing/2014/main" id="{7B559F72-404D-4D32-99A7-61D1955A7F5A}"/>
            </a:ext>
          </a:extLst>
        </xdr:cNvPr>
        <xdr:cNvSpPr txBox="1"/>
      </xdr:nvSpPr>
      <xdr:spPr>
        <a:xfrm>
          <a:off x="3781426" y="1943100"/>
          <a:ext cx="116204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7343905-764F-402C-A19A-31C77F93761C}" type="TxLink">
            <a:rPr lang="en-US" sz="1200" b="1" i="0" u="none" strike="noStrike">
              <a:solidFill>
                <a:srgbClr val="000000"/>
              </a:solidFill>
              <a:latin typeface="Aptos Narrow"/>
            </a:rPr>
            <a:pPr algn="l"/>
            <a:t>Total: $15.84M</a:t>
          </a:fld>
          <a:endParaRPr lang="en-US" sz="1600" b="1">
            <a:latin typeface="Constantia" panose="02030602050306030303" pitchFamily="18" charset="0"/>
          </a:endParaRPr>
        </a:p>
      </xdr:txBody>
    </xdr:sp>
    <xdr:clientData/>
  </xdr:twoCellAnchor>
  <xdr:twoCellAnchor>
    <xdr:from>
      <xdr:col>6</xdr:col>
      <xdr:colOff>123826</xdr:colOff>
      <xdr:row>11</xdr:row>
      <xdr:rowOff>85725</xdr:rowOff>
    </xdr:from>
    <xdr:to>
      <xdr:col>8</xdr:col>
      <xdr:colOff>457200</xdr:colOff>
      <xdr:row>12</xdr:row>
      <xdr:rowOff>165100</xdr:rowOff>
    </xdr:to>
    <xdr:sp macro="" textlink="overall_analysis!$G$4">
      <xdr:nvSpPr>
        <xdr:cNvPr id="98" name="TextBox 97">
          <a:extLst>
            <a:ext uri="{FF2B5EF4-FFF2-40B4-BE49-F238E27FC236}">
              <a16:creationId xmlns:a16="http://schemas.microsoft.com/office/drawing/2014/main" id="{DC5BAB0B-F298-4E85-971D-F94722E569FB}"/>
            </a:ext>
          </a:extLst>
        </xdr:cNvPr>
        <xdr:cNvSpPr txBox="1"/>
      </xdr:nvSpPr>
      <xdr:spPr>
        <a:xfrm>
          <a:off x="3781426" y="2181225"/>
          <a:ext cx="1552574"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2845571-07DC-4C62-80A8-C24637B02CC1}" type="TxLink">
            <a:rPr lang="en-US" sz="1100" b="1" i="0" u="none" strike="noStrike">
              <a:solidFill>
                <a:schemeClr val="tx1">
                  <a:lumMod val="65000"/>
                  <a:lumOff val="35000"/>
                </a:schemeClr>
              </a:solidFill>
              <a:latin typeface="Aptos Narrow"/>
            </a:rPr>
            <a:pPr algn="l"/>
            <a:t>Avg: $10.00K</a:t>
          </a:fld>
          <a:endParaRPr lang="en-US" sz="1400" b="1">
            <a:solidFill>
              <a:schemeClr val="tx1">
                <a:lumMod val="65000"/>
                <a:lumOff val="35000"/>
              </a:schemeClr>
            </a:solidFill>
            <a:latin typeface="Constantia" panose="02030602050306030303" pitchFamily="18" charset="0"/>
          </a:endParaRPr>
        </a:p>
      </xdr:txBody>
    </xdr:sp>
    <xdr:clientData/>
  </xdr:twoCellAnchor>
  <xdr:twoCellAnchor>
    <xdr:from>
      <xdr:col>3</xdr:col>
      <xdr:colOff>152400</xdr:colOff>
      <xdr:row>11</xdr:row>
      <xdr:rowOff>114299</xdr:rowOff>
    </xdr:from>
    <xdr:to>
      <xdr:col>5</xdr:col>
      <xdr:colOff>552450</xdr:colOff>
      <xdr:row>12</xdr:row>
      <xdr:rowOff>165100</xdr:rowOff>
    </xdr:to>
    <xdr:sp macro="" textlink="overall_analysis!$I$4">
      <xdr:nvSpPr>
        <xdr:cNvPr id="99" name="TextBox 98">
          <a:extLst>
            <a:ext uri="{FF2B5EF4-FFF2-40B4-BE49-F238E27FC236}">
              <a16:creationId xmlns:a16="http://schemas.microsoft.com/office/drawing/2014/main" id="{F6FC02DF-D6CF-4990-8E9A-F49EDC07A68A}"/>
            </a:ext>
          </a:extLst>
        </xdr:cNvPr>
        <xdr:cNvSpPr txBox="1"/>
      </xdr:nvSpPr>
      <xdr:spPr>
        <a:xfrm>
          <a:off x="1981200" y="2209799"/>
          <a:ext cx="1619250" cy="24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D21679A-EDFB-421F-B106-ECB759E6DE09}" type="TxLink">
            <a:rPr lang="en-US" sz="1100" b="1" i="0" u="none" strike="noStrike">
              <a:solidFill>
                <a:schemeClr val="tx1">
                  <a:lumMod val="65000"/>
                  <a:lumOff val="35000"/>
                </a:schemeClr>
              </a:solidFill>
              <a:latin typeface="Aptos Narrow"/>
            </a:rPr>
            <a:pPr algn="l"/>
            <a:t>Avg: 132.87K</a:t>
          </a:fld>
          <a:endParaRPr lang="en-US" sz="1400" b="1">
            <a:solidFill>
              <a:schemeClr val="tx1">
                <a:lumMod val="65000"/>
                <a:lumOff val="35000"/>
              </a:schemeClr>
            </a:solidFill>
            <a:latin typeface="Constantia" panose="02030602050306030303" pitchFamily="18" charset="0"/>
          </a:endParaRPr>
        </a:p>
      </xdr:txBody>
    </xdr:sp>
    <xdr:clientData/>
  </xdr:twoCellAnchor>
  <xdr:twoCellAnchor editAs="oneCell">
    <xdr:from>
      <xdr:col>4</xdr:col>
      <xdr:colOff>590550</xdr:colOff>
      <xdr:row>8</xdr:row>
      <xdr:rowOff>19050</xdr:rowOff>
    </xdr:from>
    <xdr:to>
      <xdr:col>5</xdr:col>
      <xdr:colOff>529590</xdr:colOff>
      <xdr:row>10</xdr:row>
      <xdr:rowOff>186690</xdr:rowOff>
    </xdr:to>
    <xdr:pic>
      <xdr:nvPicPr>
        <xdr:cNvPr id="102" name="Graphic 101" descr="Gauge with solid fill">
          <a:extLst>
            <a:ext uri="{FF2B5EF4-FFF2-40B4-BE49-F238E27FC236}">
              <a16:creationId xmlns:a16="http://schemas.microsoft.com/office/drawing/2014/main" id="{B88A68AD-ECC9-A526-47DF-42D05BE1FDA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28950" y="1543050"/>
          <a:ext cx="548640" cy="548640"/>
        </a:xfrm>
        <a:prstGeom prst="rect">
          <a:avLst/>
        </a:prstGeom>
      </xdr:spPr>
    </xdr:pic>
    <xdr:clientData/>
  </xdr:twoCellAnchor>
  <xdr:twoCellAnchor editAs="oneCell">
    <xdr:from>
      <xdr:col>0</xdr:col>
      <xdr:colOff>123826</xdr:colOff>
      <xdr:row>1</xdr:row>
      <xdr:rowOff>171450</xdr:rowOff>
    </xdr:from>
    <xdr:to>
      <xdr:col>7</xdr:col>
      <xdr:colOff>419100</xdr:colOff>
      <xdr:row>7</xdr:row>
      <xdr:rowOff>38100</xdr:rowOff>
    </xdr:to>
    <mc:AlternateContent xmlns:mc="http://schemas.openxmlformats.org/markup-compatibility/2006">
      <mc:Choice xmlns:a14="http://schemas.microsoft.com/office/drawing/2010/main" Requires="a14">
        <xdr:graphicFrame macro="">
          <xdr:nvGraphicFramePr>
            <xdr:cNvPr id="103" name="Date (Year)">
              <a:extLst>
                <a:ext uri="{FF2B5EF4-FFF2-40B4-BE49-F238E27FC236}">
                  <a16:creationId xmlns:a16="http://schemas.microsoft.com/office/drawing/2014/main" id="{D7F74C4D-B892-40AB-BECB-938BA5DEEA3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23826" y="361950"/>
              <a:ext cx="4562474"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371475</xdr:colOff>
      <xdr:row>2</xdr:row>
      <xdr:rowOff>38100</xdr:rowOff>
    </xdr:from>
    <xdr:to>
      <xdr:col>29</xdr:col>
      <xdr:colOff>38100</xdr:colOff>
      <xdr:row>7</xdr:row>
      <xdr:rowOff>54864</xdr:rowOff>
    </xdr:to>
    <mc:AlternateContent xmlns:mc="http://schemas.openxmlformats.org/markup-compatibility/2006">
      <mc:Choice xmlns:a14="http://schemas.microsoft.com/office/drawing/2010/main" Requires="a14">
        <xdr:graphicFrame macro="">
          <xdr:nvGraphicFramePr>
            <xdr:cNvPr id="104" name="Date (Month)">
              <a:extLst>
                <a:ext uri="{FF2B5EF4-FFF2-40B4-BE49-F238E27FC236}">
                  <a16:creationId xmlns:a16="http://schemas.microsoft.com/office/drawing/2014/main" id="{810029B2-F1EA-427F-B8CE-8B1D3746660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3173075" y="419100"/>
              <a:ext cx="4543425" cy="96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552450</xdr:colOff>
      <xdr:row>4</xdr:row>
      <xdr:rowOff>4762</xdr:rowOff>
    </xdr:from>
    <xdr:to>
      <xdr:col>19</xdr:col>
      <xdr:colOff>352425</xdr:colOff>
      <xdr:row>6</xdr:row>
      <xdr:rowOff>80962</xdr:rowOff>
    </xdr:to>
    <xdr:grpSp>
      <xdr:nvGrpSpPr>
        <xdr:cNvPr id="115" name="Group 114">
          <a:hlinkClick xmlns:r="http://schemas.openxmlformats.org/officeDocument/2006/relationships" r:id="rId15"/>
          <a:extLst>
            <a:ext uri="{FF2B5EF4-FFF2-40B4-BE49-F238E27FC236}">
              <a16:creationId xmlns:a16="http://schemas.microsoft.com/office/drawing/2014/main" id="{69D1545C-4004-57E3-FAC2-C63113FC6A23}"/>
            </a:ext>
          </a:extLst>
        </xdr:cNvPr>
        <xdr:cNvGrpSpPr/>
      </xdr:nvGrpSpPr>
      <xdr:grpSpPr>
        <a:xfrm>
          <a:off x="10915650" y="766762"/>
          <a:ext cx="1019175" cy="457200"/>
          <a:chOff x="10915650" y="766762"/>
          <a:chExt cx="1019175" cy="457200"/>
        </a:xfrm>
      </xdr:grpSpPr>
      <xdr:sp macro="" textlink="">
        <xdr:nvSpPr>
          <xdr:cNvPr id="54" name="Flowchart: Terminator 53">
            <a:extLst>
              <a:ext uri="{FF2B5EF4-FFF2-40B4-BE49-F238E27FC236}">
                <a16:creationId xmlns:a16="http://schemas.microsoft.com/office/drawing/2014/main" id="{1A3A74E7-5005-44C5-89E0-703C528ECB44}"/>
              </a:ext>
            </a:extLst>
          </xdr:cNvPr>
          <xdr:cNvSpPr/>
        </xdr:nvSpPr>
        <xdr:spPr>
          <a:xfrm>
            <a:off x="10915650" y="766762"/>
            <a:ext cx="1019175" cy="457200"/>
          </a:xfrm>
          <a:prstGeom prst="flowChartTerminator">
            <a:avLst/>
          </a:prstGeom>
          <a:solidFill>
            <a:srgbClr val="002060"/>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7" name="Graphic 106" descr="Leaky Tap with solid fill">
            <a:extLst>
              <a:ext uri="{FF2B5EF4-FFF2-40B4-BE49-F238E27FC236}">
                <a16:creationId xmlns:a16="http://schemas.microsoft.com/office/drawing/2014/main" id="{CE885419-1A3A-4C02-A9BF-A95B6AA0876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257902" y="830770"/>
            <a:ext cx="334671" cy="329184"/>
          </a:xfrm>
          <a:prstGeom prst="rect">
            <a:avLst/>
          </a:prstGeom>
        </xdr:spPr>
      </xdr:pic>
    </xdr:grpSp>
    <xdr:clientData/>
  </xdr:twoCellAnchor>
  <xdr:twoCellAnchor>
    <xdr:from>
      <xdr:col>19</xdr:col>
      <xdr:colOff>504825</xdr:colOff>
      <xdr:row>4</xdr:row>
      <xdr:rowOff>4762</xdr:rowOff>
    </xdr:from>
    <xdr:to>
      <xdr:col>21</xdr:col>
      <xdr:colOff>304800</xdr:colOff>
      <xdr:row>6</xdr:row>
      <xdr:rowOff>80962</xdr:rowOff>
    </xdr:to>
    <xdr:grpSp>
      <xdr:nvGrpSpPr>
        <xdr:cNvPr id="116" name="Group 115">
          <a:hlinkClick xmlns:r="http://schemas.openxmlformats.org/officeDocument/2006/relationships" r:id="rId18"/>
          <a:extLst>
            <a:ext uri="{FF2B5EF4-FFF2-40B4-BE49-F238E27FC236}">
              <a16:creationId xmlns:a16="http://schemas.microsoft.com/office/drawing/2014/main" id="{7F91E764-3BCC-F482-2C87-E08D009D0018}"/>
            </a:ext>
          </a:extLst>
        </xdr:cNvPr>
        <xdr:cNvGrpSpPr/>
      </xdr:nvGrpSpPr>
      <xdr:grpSpPr>
        <a:xfrm>
          <a:off x="12087225" y="766762"/>
          <a:ext cx="1019175" cy="457200"/>
          <a:chOff x="12087225" y="766762"/>
          <a:chExt cx="1019175" cy="457200"/>
        </a:xfrm>
      </xdr:grpSpPr>
      <xdr:sp macro="" textlink="">
        <xdr:nvSpPr>
          <xdr:cNvPr id="55" name="Flowchart: Terminator 54">
            <a:extLst>
              <a:ext uri="{FF2B5EF4-FFF2-40B4-BE49-F238E27FC236}">
                <a16:creationId xmlns:a16="http://schemas.microsoft.com/office/drawing/2014/main" id="{00154E90-2C95-4264-8F16-39C26EC32343}"/>
              </a:ext>
            </a:extLst>
          </xdr:cNvPr>
          <xdr:cNvSpPr/>
        </xdr:nvSpPr>
        <xdr:spPr>
          <a:xfrm>
            <a:off x="12087225" y="766762"/>
            <a:ext cx="1019175" cy="457200"/>
          </a:xfrm>
          <a:prstGeom prst="flowChartTerminator">
            <a:avLst/>
          </a:prstGeom>
          <a:solidFill>
            <a:srgbClr val="00B050"/>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0" name="Group 109">
            <a:extLst>
              <a:ext uri="{FF2B5EF4-FFF2-40B4-BE49-F238E27FC236}">
                <a16:creationId xmlns:a16="http://schemas.microsoft.com/office/drawing/2014/main" id="{A51000C4-36F1-3B14-848D-FD38A54CA9EE}"/>
              </a:ext>
            </a:extLst>
          </xdr:cNvPr>
          <xdr:cNvGrpSpPr/>
        </xdr:nvGrpSpPr>
        <xdr:grpSpPr>
          <a:xfrm>
            <a:off x="12368212" y="812482"/>
            <a:ext cx="457200" cy="365760"/>
            <a:chOff x="12087225" y="766762"/>
            <a:chExt cx="857250" cy="781050"/>
          </a:xfrm>
        </xdr:grpSpPr>
        <xdr:pic>
          <xdr:nvPicPr>
            <xdr:cNvPr id="108" name="Graphic 107" descr="Water with solid fill">
              <a:extLst>
                <a:ext uri="{FF2B5EF4-FFF2-40B4-BE49-F238E27FC236}">
                  <a16:creationId xmlns:a16="http://schemas.microsoft.com/office/drawing/2014/main" id="{D55AF949-2BDC-49B3-825C-3FD9C0E5572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087225" y="766762"/>
              <a:ext cx="857250" cy="781050"/>
            </a:xfrm>
            <a:prstGeom prst="rect">
              <a:avLst/>
            </a:prstGeom>
          </xdr:spPr>
        </xdr:pic>
        <xdr:pic>
          <xdr:nvPicPr>
            <xdr:cNvPr id="109" name="Graphic 108" descr="Fire with solid fill">
              <a:extLst>
                <a:ext uri="{FF2B5EF4-FFF2-40B4-BE49-F238E27FC236}">
                  <a16:creationId xmlns:a16="http://schemas.microsoft.com/office/drawing/2014/main" id="{4CD42174-5462-4CF4-A30B-15FBC45E355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217265" y="911757"/>
              <a:ext cx="609134" cy="554990"/>
            </a:xfrm>
            <a:prstGeom prst="rect">
              <a:avLst/>
            </a:prstGeom>
          </xdr:spPr>
        </xdr:pic>
      </xdr:grpSp>
    </xdr:grpSp>
    <xdr:clientData/>
  </xdr:twoCellAnchor>
  <xdr:twoCellAnchor>
    <xdr:from>
      <xdr:col>15</xdr:col>
      <xdr:colOff>600075</xdr:colOff>
      <xdr:row>4</xdr:row>
      <xdr:rowOff>4762</xdr:rowOff>
    </xdr:from>
    <xdr:to>
      <xdr:col>17</xdr:col>
      <xdr:colOff>400050</xdr:colOff>
      <xdr:row>6</xdr:row>
      <xdr:rowOff>80962</xdr:rowOff>
    </xdr:to>
    <xdr:grpSp>
      <xdr:nvGrpSpPr>
        <xdr:cNvPr id="117" name="Group 116">
          <a:hlinkClick xmlns:r="http://schemas.openxmlformats.org/officeDocument/2006/relationships" r:id="rId23"/>
          <a:extLst>
            <a:ext uri="{FF2B5EF4-FFF2-40B4-BE49-F238E27FC236}">
              <a16:creationId xmlns:a16="http://schemas.microsoft.com/office/drawing/2014/main" id="{234C5502-0136-5129-64A6-2674C5AC1B95}"/>
            </a:ext>
          </a:extLst>
        </xdr:cNvPr>
        <xdr:cNvGrpSpPr/>
      </xdr:nvGrpSpPr>
      <xdr:grpSpPr>
        <a:xfrm>
          <a:off x="9744075" y="766762"/>
          <a:ext cx="1019175" cy="457200"/>
          <a:chOff x="9744075" y="766762"/>
          <a:chExt cx="1019175" cy="457200"/>
        </a:xfrm>
      </xdr:grpSpPr>
      <xdr:sp macro="" textlink="">
        <xdr:nvSpPr>
          <xdr:cNvPr id="53" name="Flowchart: Terminator 52">
            <a:extLst>
              <a:ext uri="{FF2B5EF4-FFF2-40B4-BE49-F238E27FC236}">
                <a16:creationId xmlns:a16="http://schemas.microsoft.com/office/drawing/2014/main" id="{B5652857-E683-02B0-8A91-B9F4022DE366}"/>
              </a:ext>
            </a:extLst>
          </xdr:cNvPr>
          <xdr:cNvSpPr/>
        </xdr:nvSpPr>
        <xdr:spPr>
          <a:xfrm>
            <a:off x="9744075" y="766762"/>
            <a:ext cx="1019175" cy="457200"/>
          </a:xfrm>
          <a:prstGeom prst="flowChartTerminator">
            <a:avLst/>
          </a:prstGeom>
          <a:solidFill>
            <a:srgbClr val="FFFF00"/>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2" name="Graphic 111" descr="Electric Tower with solid fill">
            <a:extLst>
              <a:ext uri="{FF2B5EF4-FFF2-40B4-BE49-F238E27FC236}">
                <a16:creationId xmlns:a16="http://schemas.microsoft.com/office/drawing/2014/main" id="{2378BF2F-6559-B116-B389-6574299B2A33}"/>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0089070" y="830770"/>
            <a:ext cx="329184" cy="329184"/>
          </a:xfrm>
          <a:prstGeom prst="rect">
            <a:avLst/>
          </a:prstGeom>
        </xdr:spPr>
      </xdr:pic>
    </xdr:grpSp>
    <xdr:clientData/>
  </xdr:twoCellAnchor>
  <xdr:twoCellAnchor>
    <xdr:from>
      <xdr:col>7</xdr:col>
      <xdr:colOff>537208</xdr:colOff>
      <xdr:row>0</xdr:row>
      <xdr:rowOff>128586</xdr:rowOff>
    </xdr:from>
    <xdr:to>
      <xdr:col>9</xdr:col>
      <xdr:colOff>415288</xdr:colOff>
      <xdr:row>6</xdr:row>
      <xdr:rowOff>82866</xdr:rowOff>
    </xdr:to>
    <xdr:grpSp>
      <xdr:nvGrpSpPr>
        <xdr:cNvPr id="119" name="Group 118">
          <a:extLst>
            <a:ext uri="{FF2B5EF4-FFF2-40B4-BE49-F238E27FC236}">
              <a16:creationId xmlns:a16="http://schemas.microsoft.com/office/drawing/2014/main" id="{D0F3AB88-3F4C-E176-C80A-593D511F7398}"/>
            </a:ext>
          </a:extLst>
        </xdr:cNvPr>
        <xdr:cNvGrpSpPr/>
      </xdr:nvGrpSpPr>
      <xdr:grpSpPr>
        <a:xfrm>
          <a:off x="4804408" y="128586"/>
          <a:ext cx="1097280" cy="1097280"/>
          <a:chOff x="4804408" y="128586"/>
          <a:chExt cx="1097280" cy="1097280"/>
        </a:xfrm>
      </xdr:grpSpPr>
      <xdr:sp macro="" textlink="">
        <xdr:nvSpPr>
          <xdr:cNvPr id="118" name="Rectangle: Rounded Corners 117">
            <a:extLst>
              <a:ext uri="{FF2B5EF4-FFF2-40B4-BE49-F238E27FC236}">
                <a16:creationId xmlns:a16="http://schemas.microsoft.com/office/drawing/2014/main" id="{A7505CBD-A79C-4CB2-817A-57361C107B3A}"/>
              </a:ext>
            </a:extLst>
          </xdr:cNvPr>
          <xdr:cNvSpPr/>
        </xdr:nvSpPr>
        <xdr:spPr>
          <a:xfrm>
            <a:off x="4804408" y="128586"/>
            <a:ext cx="1097280" cy="1097280"/>
          </a:xfrm>
          <a:prstGeom prst="round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Graphic 10" descr="High voltage with solid fill">
            <a:extLst>
              <a:ext uri="{FF2B5EF4-FFF2-40B4-BE49-F238E27FC236}">
                <a16:creationId xmlns:a16="http://schemas.microsoft.com/office/drawing/2014/main" id="{4A4C67B5-FE3B-59C5-AA8A-5B2C66DF97A9}"/>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833936" y="158114"/>
            <a:ext cx="1038225" cy="1038225"/>
          </a:xfrm>
          <a:prstGeom prst="rect">
            <a:avLst/>
          </a:prstGeom>
        </xdr:spPr>
      </xdr:pic>
    </xdr:grpSp>
    <xdr:clientData/>
  </xdr:twoCellAnchor>
</xdr:wsDr>
</file>

<file path=xl/drawings/drawing2.xml><?xml version="1.0" encoding="utf-8"?>
<c:userShapes xmlns:c="http://schemas.openxmlformats.org/drawingml/2006/chart">
  <cdr:relSizeAnchor xmlns:cdr="http://schemas.openxmlformats.org/drawingml/2006/chartDrawing">
    <cdr:from>
      <cdr:x>0.25824</cdr:x>
      <cdr:y>0.40741</cdr:y>
    </cdr:from>
    <cdr:to>
      <cdr:x>0.63736</cdr:x>
      <cdr:y>0.57407</cdr:y>
    </cdr:to>
    <cdr:sp macro="" textlink="">
      <cdr:nvSpPr>
        <cdr:cNvPr id="2" name="TextBox 74">
          <a:extLst xmlns:a="http://schemas.openxmlformats.org/drawingml/2006/main">
            <a:ext uri="{FF2B5EF4-FFF2-40B4-BE49-F238E27FC236}">
              <a16:creationId xmlns:a16="http://schemas.microsoft.com/office/drawing/2014/main" id="{C1EED9DF-AC5F-4E9E-8D4D-7B4F65FD2824}"/>
            </a:ext>
          </a:extLst>
        </cdr:cNvPr>
        <cdr:cNvSpPr txBox="1"/>
      </cdr:nvSpPr>
      <cdr:spPr>
        <a:xfrm xmlns:a="http://schemas.openxmlformats.org/drawingml/2006/main">
          <a:off x="746125" y="1117600"/>
          <a:ext cx="1095375" cy="4572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050" b="1">
              <a:solidFill>
                <a:schemeClr val="bg1"/>
              </a:solidFill>
              <a:latin typeface="Constantia" panose="02030602050306030303" pitchFamily="18" charset="0"/>
            </a:rPr>
            <a:t>Consumption Percentage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123823</xdr:colOff>
      <xdr:row>0</xdr:row>
      <xdr:rowOff>57149</xdr:rowOff>
    </xdr:from>
    <xdr:to>
      <xdr:col>29</xdr:col>
      <xdr:colOff>66675</xdr:colOff>
      <xdr:row>41</xdr:row>
      <xdr:rowOff>19050</xdr:rowOff>
    </xdr:to>
    <xdr:grpSp>
      <xdr:nvGrpSpPr>
        <xdr:cNvPr id="2" name="Group 1">
          <a:extLst>
            <a:ext uri="{FF2B5EF4-FFF2-40B4-BE49-F238E27FC236}">
              <a16:creationId xmlns:a16="http://schemas.microsoft.com/office/drawing/2014/main" id="{98D5DF5A-295C-4614-BE93-51BA9D164851}"/>
            </a:ext>
          </a:extLst>
        </xdr:cNvPr>
        <xdr:cNvGrpSpPr/>
      </xdr:nvGrpSpPr>
      <xdr:grpSpPr>
        <a:xfrm>
          <a:off x="123823" y="57149"/>
          <a:ext cx="17621252" cy="7772401"/>
          <a:chOff x="123823" y="57149"/>
          <a:chExt cx="17621252" cy="7772401"/>
        </a:xfrm>
      </xdr:grpSpPr>
      <xdr:sp macro="" textlink="">
        <xdr:nvSpPr>
          <xdr:cNvPr id="3" name="Rectangle: Rounded Corners 2">
            <a:extLst>
              <a:ext uri="{FF2B5EF4-FFF2-40B4-BE49-F238E27FC236}">
                <a16:creationId xmlns:a16="http://schemas.microsoft.com/office/drawing/2014/main" id="{A9EC241E-716D-3ABD-F09D-192561487912}"/>
              </a:ext>
            </a:extLst>
          </xdr:cNvPr>
          <xdr:cNvSpPr/>
        </xdr:nvSpPr>
        <xdr:spPr>
          <a:xfrm>
            <a:off x="123825" y="57149"/>
            <a:ext cx="17621250" cy="7772401"/>
          </a:xfrm>
          <a:prstGeom prst="roundRect">
            <a:avLst>
              <a:gd name="adj" fmla="val 3554"/>
            </a:avLst>
          </a:prstGeom>
          <a:solidFill>
            <a:srgbClr val="F2FFA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Top Corners Rounded 3">
            <a:extLst>
              <a:ext uri="{FF2B5EF4-FFF2-40B4-BE49-F238E27FC236}">
                <a16:creationId xmlns:a16="http://schemas.microsoft.com/office/drawing/2014/main" id="{83064269-91A4-2D01-586F-819E8BC28025}"/>
              </a:ext>
            </a:extLst>
          </xdr:cNvPr>
          <xdr:cNvSpPr/>
        </xdr:nvSpPr>
        <xdr:spPr>
          <a:xfrm>
            <a:off x="123825" y="57150"/>
            <a:ext cx="17620488" cy="1323976"/>
          </a:xfrm>
          <a:prstGeom prst="round2SameRect">
            <a:avLst/>
          </a:prstGeom>
          <a:solidFill>
            <a:srgbClr val="D9DE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Single Corner Rounded 4">
            <a:extLst>
              <a:ext uri="{FF2B5EF4-FFF2-40B4-BE49-F238E27FC236}">
                <a16:creationId xmlns:a16="http://schemas.microsoft.com/office/drawing/2014/main" id="{18A8BEB6-3D9C-195C-E643-0690DDC808B5}"/>
              </a:ext>
            </a:extLst>
          </xdr:cNvPr>
          <xdr:cNvSpPr/>
        </xdr:nvSpPr>
        <xdr:spPr>
          <a:xfrm flipH="1">
            <a:off x="123823" y="57150"/>
            <a:ext cx="4572000" cy="1325880"/>
          </a:xfrm>
          <a:prstGeom prst="round1Rect">
            <a:avLst>
              <a:gd name="adj" fmla="val 14512"/>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Single Corner Rounded 5">
            <a:extLst>
              <a:ext uri="{FF2B5EF4-FFF2-40B4-BE49-F238E27FC236}">
                <a16:creationId xmlns:a16="http://schemas.microsoft.com/office/drawing/2014/main" id="{24015765-7EFC-EDF5-6B3D-57D0941B9B43}"/>
              </a:ext>
            </a:extLst>
          </xdr:cNvPr>
          <xdr:cNvSpPr/>
        </xdr:nvSpPr>
        <xdr:spPr>
          <a:xfrm>
            <a:off x="13173074" y="57150"/>
            <a:ext cx="4572000" cy="1325880"/>
          </a:xfrm>
          <a:prstGeom prst="round1Rect">
            <a:avLst>
              <a:gd name="adj" fmla="val 15949"/>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9C4750F4-0DE4-5CDE-E42B-3CA4AAB6CDC6}"/>
              </a:ext>
            </a:extLst>
          </xdr:cNvPr>
          <xdr:cNvSpPr txBox="1"/>
        </xdr:nvSpPr>
        <xdr:spPr>
          <a:xfrm>
            <a:off x="5953125" y="104775"/>
            <a:ext cx="699135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Constantia" panose="02030602050306030303" pitchFamily="18" charset="0"/>
                <a:cs typeface="Aharoni" panose="020F0502020204030204" pitchFamily="2" charset="-79"/>
              </a:rPr>
              <a:t>ENERGY CONSUMPTION COMMAND</a:t>
            </a:r>
            <a:r>
              <a:rPr lang="en-US" sz="2400" b="1" baseline="0">
                <a:latin typeface="Constantia" panose="02030602050306030303" pitchFamily="18" charset="0"/>
                <a:cs typeface="Aharoni" panose="020F0502020204030204" pitchFamily="2" charset="-79"/>
              </a:rPr>
              <a:t> CENTER</a:t>
            </a:r>
            <a:endParaRPr lang="en-US" sz="2400" b="1">
              <a:latin typeface="Constantia" panose="02030602050306030303" pitchFamily="18" charset="0"/>
              <a:cs typeface="Aharoni" panose="020F0502020204030204" pitchFamily="2" charset="-79"/>
            </a:endParaRPr>
          </a:p>
        </xdr:txBody>
      </xdr:sp>
      <xdr:cxnSp macro="">
        <xdr:nvCxnSpPr>
          <xdr:cNvPr id="8" name="Straight Connector 7">
            <a:extLst>
              <a:ext uri="{FF2B5EF4-FFF2-40B4-BE49-F238E27FC236}">
                <a16:creationId xmlns:a16="http://schemas.microsoft.com/office/drawing/2014/main" id="{AEDC8299-5E17-BB49-7D60-B1FDDABBAD04}"/>
              </a:ext>
            </a:extLst>
          </xdr:cNvPr>
          <xdr:cNvCxnSpPr/>
        </xdr:nvCxnSpPr>
        <xdr:spPr>
          <a:xfrm flipH="1">
            <a:off x="5991225" y="171449"/>
            <a:ext cx="0" cy="1097280"/>
          </a:xfrm>
          <a:prstGeom prst="line">
            <a:avLst/>
          </a:prstGeom>
        </xdr:spPr>
        <xdr:style>
          <a:lnRef idx="2">
            <a:schemeClr val="dk1"/>
          </a:lnRef>
          <a:fillRef idx="0">
            <a:schemeClr val="dk1"/>
          </a:fillRef>
          <a:effectRef idx="1">
            <a:schemeClr val="dk1"/>
          </a:effectRef>
          <a:fontRef idx="minor">
            <a:schemeClr val="tx1"/>
          </a:fontRef>
        </xdr:style>
      </xdr:cxnSp>
      <xdr:sp macro="" textlink="">
        <xdr:nvSpPr>
          <xdr:cNvPr id="9" name="TextBox 8">
            <a:extLst>
              <a:ext uri="{FF2B5EF4-FFF2-40B4-BE49-F238E27FC236}">
                <a16:creationId xmlns:a16="http://schemas.microsoft.com/office/drawing/2014/main" id="{31D0B9D5-4828-39EB-93D0-41C9D894451A}"/>
              </a:ext>
            </a:extLst>
          </xdr:cNvPr>
          <xdr:cNvSpPr txBox="1"/>
        </xdr:nvSpPr>
        <xdr:spPr>
          <a:xfrm>
            <a:off x="6019800" y="809625"/>
            <a:ext cx="38290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baseline="0">
                <a:solidFill>
                  <a:schemeClr val="tx1">
                    <a:lumMod val="65000"/>
                    <a:lumOff val="35000"/>
                  </a:schemeClr>
                </a:solidFill>
                <a:latin typeface="Aharoni" panose="02010803020104030203" pitchFamily="2" charset="-79"/>
                <a:cs typeface="Aharoni" panose="02010803020104030203" pitchFamily="2" charset="-79"/>
              </a:rPr>
              <a:t>Electricity Analytics Dashboard</a:t>
            </a:r>
            <a:endParaRPr lang="en-US" sz="1600" b="1">
              <a:solidFill>
                <a:schemeClr val="tx1">
                  <a:lumMod val="65000"/>
                  <a:lumOff val="35000"/>
                </a:schemeClr>
              </a:solidFill>
              <a:latin typeface="Aharoni" panose="02010803020104030203" pitchFamily="2" charset="-79"/>
              <a:cs typeface="Aharoni" panose="02010803020104030203" pitchFamily="2" charset="-79"/>
            </a:endParaRPr>
          </a:p>
        </xdr:txBody>
      </xdr:sp>
      <xdr:sp macro="" textlink="">
        <xdr:nvSpPr>
          <xdr:cNvPr id="10" name="TextBox 9">
            <a:extLst>
              <a:ext uri="{FF2B5EF4-FFF2-40B4-BE49-F238E27FC236}">
                <a16:creationId xmlns:a16="http://schemas.microsoft.com/office/drawing/2014/main" id="{90A9081E-7480-871E-DB86-A5C0A29E45A7}"/>
              </a:ext>
            </a:extLst>
          </xdr:cNvPr>
          <xdr:cNvSpPr txBox="1"/>
        </xdr:nvSpPr>
        <xdr:spPr>
          <a:xfrm>
            <a:off x="2000248" y="128587"/>
            <a:ext cx="8191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latin typeface="Aharoni" panose="02010803020104030203" pitchFamily="2" charset="-79"/>
                <a:cs typeface="Aharoni" panose="02010803020104030203" pitchFamily="2" charset="-79"/>
              </a:rPr>
              <a:t>Year</a:t>
            </a:r>
          </a:p>
        </xdr:txBody>
      </xdr:sp>
      <xdr:sp macro="" textlink="">
        <xdr:nvSpPr>
          <xdr:cNvPr id="11" name="TextBox 10">
            <a:extLst>
              <a:ext uri="{FF2B5EF4-FFF2-40B4-BE49-F238E27FC236}">
                <a16:creationId xmlns:a16="http://schemas.microsoft.com/office/drawing/2014/main" id="{A84ADD4C-E955-7770-D6E3-EEB03C079CBF}"/>
              </a:ext>
            </a:extLst>
          </xdr:cNvPr>
          <xdr:cNvSpPr txBox="1"/>
        </xdr:nvSpPr>
        <xdr:spPr>
          <a:xfrm>
            <a:off x="14882812" y="147637"/>
            <a:ext cx="11525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latin typeface="Aharoni" panose="02010803020104030203" pitchFamily="2" charset="-79"/>
                <a:cs typeface="Aharoni" panose="02010803020104030203" pitchFamily="2" charset="-79"/>
              </a:rPr>
              <a:t>Month</a:t>
            </a:r>
          </a:p>
        </xdr:txBody>
      </xdr:sp>
    </xdr:grpSp>
    <xdr:clientData/>
  </xdr:twoCellAnchor>
  <xdr:twoCellAnchor>
    <xdr:from>
      <xdr:col>3</xdr:col>
      <xdr:colOff>120533</xdr:colOff>
      <xdr:row>7</xdr:row>
      <xdr:rowOff>142875</xdr:rowOff>
    </xdr:from>
    <xdr:to>
      <xdr:col>5</xdr:col>
      <xdr:colOff>550972</xdr:colOff>
      <xdr:row>13</xdr:row>
      <xdr:rowOff>5715</xdr:rowOff>
    </xdr:to>
    <xdr:sp macro="" textlink="">
      <xdr:nvSpPr>
        <xdr:cNvPr id="12" name="Rectangle: Rounded Corners 11">
          <a:extLst>
            <a:ext uri="{FF2B5EF4-FFF2-40B4-BE49-F238E27FC236}">
              <a16:creationId xmlns:a16="http://schemas.microsoft.com/office/drawing/2014/main" id="{64E6B416-0A2A-4CC7-B0B0-BB95ABECD64C}"/>
            </a:ext>
          </a:extLst>
        </xdr:cNvPr>
        <xdr:cNvSpPr/>
      </xdr:nvSpPr>
      <xdr:spPr>
        <a:xfrm>
          <a:off x="1949333" y="1476375"/>
          <a:ext cx="1649639" cy="1005840"/>
        </a:xfrm>
        <a:prstGeom prst="roundRect">
          <a:avLst>
            <a:gd name="adj" fmla="val 16205"/>
          </a:avLst>
        </a:prstGeom>
        <a:solidFill>
          <a:srgbClr val="D9DE0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7</xdr:row>
      <xdr:rowOff>142875</xdr:rowOff>
    </xdr:from>
    <xdr:to>
      <xdr:col>3</xdr:col>
      <xdr:colOff>4753</xdr:colOff>
      <xdr:row>13</xdr:row>
      <xdr:rowOff>5715</xdr:rowOff>
    </xdr:to>
    <xdr:sp macro="" textlink="">
      <xdr:nvSpPr>
        <xdr:cNvPr id="13" name="Rectangle: Rounded Corners 12">
          <a:extLst>
            <a:ext uri="{FF2B5EF4-FFF2-40B4-BE49-F238E27FC236}">
              <a16:creationId xmlns:a16="http://schemas.microsoft.com/office/drawing/2014/main" id="{92F89B1A-63CB-499C-B229-E354F9A1DD55}"/>
            </a:ext>
          </a:extLst>
        </xdr:cNvPr>
        <xdr:cNvSpPr/>
      </xdr:nvSpPr>
      <xdr:spPr>
        <a:xfrm>
          <a:off x="177800" y="1476375"/>
          <a:ext cx="1655753" cy="1005840"/>
        </a:xfrm>
        <a:prstGeom prst="roundRect">
          <a:avLst>
            <a:gd name="adj" fmla="val 16205"/>
          </a:avLst>
        </a:prstGeom>
        <a:solidFill>
          <a:srgbClr val="D9DE0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57151</xdr:colOff>
      <xdr:row>7</xdr:row>
      <xdr:rowOff>142875</xdr:rowOff>
    </xdr:from>
    <xdr:to>
      <xdr:col>8</xdr:col>
      <xdr:colOff>482601</xdr:colOff>
      <xdr:row>13</xdr:row>
      <xdr:rowOff>5715</xdr:rowOff>
    </xdr:to>
    <xdr:sp macro="" textlink="">
      <xdr:nvSpPr>
        <xdr:cNvPr id="14" name="Rectangle: Rounded Corners 13">
          <a:extLst>
            <a:ext uri="{FF2B5EF4-FFF2-40B4-BE49-F238E27FC236}">
              <a16:creationId xmlns:a16="http://schemas.microsoft.com/office/drawing/2014/main" id="{2710EFC9-AF26-4A11-A7F2-34F5817EA871}"/>
            </a:ext>
          </a:extLst>
        </xdr:cNvPr>
        <xdr:cNvSpPr/>
      </xdr:nvSpPr>
      <xdr:spPr>
        <a:xfrm>
          <a:off x="3714751" y="1476375"/>
          <a:ext cx="1644650" cy="1005840"/>
        </a:xfrm>
        <a:prstGeom prst="roundRect">
          <a:avLst>
            <a:gd name="adj" fmla="val 16205"/>
          </a:avLst>
        </a:prstGeom>
        <a:solidFill>
          <a:srgbClr val="D9DE0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13</xdr:row>
      <xdr:rowOff>98425</xdr:rowOff>
    </xdr:from>
    <xdr:to>
      <xdr:col>8</xdr:col>
      <xdr:colOff>482601</xdr:colOff>
      <xdr:row>26</xdr:row>
      <xdr:rowOff>182245</xdr:rowOff>
    </xdr:to>
    <xdr:sp macro="" textlink="">
      <xdr:nvSpPr>
        <xdr:cNvPr id="15" name="Rectangle: Rounded Corners 14">
          <a:extLst>
            <a:ext uri="{FF2B5EF4-FFF2-40B4-BE49-F238E27FC236}">
              <a16:creationId xmlns:a16="http://schemas.microsoft.com/office/drawing/2014/main" id="{BD921162-FBCD-48EF-8A7B-177FD2D3AD7D}"/>
            </a:ext>
          </a:extLst>
        </xdr:cNvPr>
        <xdr:cNvSpPr/>
      </xdr:nvSpPr>
      <xdr:spPr>
        <a:xfrm>
          <a:off x="177800" y="2574925"/>
          <a:ext cx="5181601" cy="2560320"/>
        </a:xfrm>
        <a:prstGeom prst="roundRect">
          <a:avLst>
            <a:gd name="adj" fmla="val 16205"/>
          </a:avLst>
        </a:prstGeom>
        <a:solidFill>
          <a:srgbClr val="FBBD21"/>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177799</xdr:colOff>
      <xdr:row>27</xdr:row>
      <xdr:rowOff>50800</xdr:rowOff>
    </xdr:from>
    <xdr:to>
      <xdr:col>8</xdr:col>
      <xdr:colOff>485647</xdr:colOff>
      <xdr:row>40</xdr:row>
      <xdr:rowOff>134620</xdr:rowOff>
    </xdr:to>
    <xdr:sp macro="" textlink="">
      <xdr:nvSpPr>
        <xdr:cNvPr id="16" name="Rectangle: Rounded Corners 15">
          <a:extLst>
            <a:ext uri="{FF2B5EF4-FFF2-40B4-BE49-F238E27FC236}">
              <a16:creationId xmlns:a16="http://schemas.microsoft.com/office/drawing/2014/main" id="{70ED4F8D-E833-4FD7-BD9F-A4F8CBD13F28}"/>
            </a:ext>
          </a:extLst>
        </xdr:cNvPr>
        <xdr:cNvSpPr/>
      </xdr:nvSpPr>
      <xdr:spPr>
        <a:xfrm>
          <a:off x="177799" y="5194300"/>
          <a:ext cx="5184648" cy="2560320"/>
        </a:xfrm>
        <a:prstGeom prst="roundRect">
          <a:avLst>
            <a:gd name="adj" fmla="val 16205"/>
          </a:avLst>
        </a:prstGeom>
        <a:solidFill>
          <a:srgbClr val="FBBD21"/>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551932</xdr:colOff>
      <xdr:row>17</xdr:row>
      <xdr:rowOff>62593</xdr:rowOff>
    </xdr:from>
    <xdr:to>
      <xdr:col>19</xdr:col>
      <xdr:colOff>475732</xdr:colOff>
      <xdr:row>28</xdr:row>
      <xdr:rowOff>70213</xdr:rowOff>
    </xdr:to>
    <xdr:sp macro="" textlink="">
      <xdr:nvSpPr>
        <xdr:cNvPr id="17" name="Rectangle: Rounded Corners 16">
          <a:extLst>
            <a:ext uri="{FF2B5EF4-FFF2-40B4-BE49-F238E27FC236}">
              <a16:creationId xmlns:a16="http://schemas.microsoft.com/office/drawing/2014/main" id="{1D8216C7-2E80-489C-BF25-684E4751CA84}"/>
            </a:ext>
          </a:extLst>
        </xdr:cNvPr>
        <xdr:cNvSpPr/>
      </xdr:nvSpPr>
      <xdr:spPr>
        <a:xfrm>
          <a:off x="5428732" y="3301093"/>
          <a:ext cx="6629400" cy="2103120"/>
        </a:xfrm>
        <a:prstGeom prst="roundRect">
          <a:avLst>
            <a:gd name="adj" fmla="val 16205"/>
          </a:avLst>
        </a:prstGeom>
        <a:solidFill>
          <a:srgbClr val="D9DE0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551932</xdr:colOff>
      <xdr:row>28</xdr:row>
      <xdr:rowOff>153216</xdr:rowOff>
    </xdr:from>
    <xdr:to>
      <xdr:col>19</xdr:col>
      <xdr:colOff>476186</xdr:colOff>
      <xdr:row>40</xdr:row>
      <xdr:rowOff>134620</xdr:rowOff>
    </xdr:to>
    <xdr:sp macro="" textlink="">
      <xdr:nvSpPr>
        <xdr:cNvPr id="18" name="Rectangle: Rounded Corners 17">
          <a:extLst>
            <a:ext uri="{FF2B5EF4-FFF2-40B4-BE49-F238E27FC236}">
              <a16:creationId xmlns:a16="http://schemas.microsoft.com/office/drawing/2014/main" id="{6B9DF72D-D9B3-4315-9F83-2762E3A347D8}"/>
            </a:ext>
          </a:extLst>
        </xdr:cNvPr>
        <xdr:cNvSpPr/>
      </xdr:nvSpPr>
      <xdr:spPr>
        <a:xfrm>
          <a:off x="5428732" y="5487216"/>
          <a:ext cx="6629854" cy="2267404"/>
        </a:xfrm>
        <a:prstGeom prst="roundRect">
          <a:avLst>
            <a:gd name="adj" fmla="val 16205"/>
          </a:avLst>
        </a:prstGeom>
        <a:solidFill>
          <a:srgbClr val="D9DE0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542407</xdr:colOff>
      <xdr:row>7</xdr:row>
      <xdr:rowOff>142875</xdr:rowOff>
    </xdr:from>
    <xdr:to>
      <xdr:col>19</xdr:col>
      <xdr:colOff>466207</xdr:colOff>
      <xdr:row>16</xdr:row>
      <xdr:rowOff>170090</xdr:rowOff>
    </xdr:to>
    <xdr:sp macro="" textlink="">
      <xdr:nvSpPr>
        <xdr:cNvPr id="19" name="Rectangle: Rounded Corners 18">
          <a:extLst>
            <a:ext uri="{FF2B5EF4-FFF2-40B4-BE49-F238E27FC236}">
              <a16:creationId xmlns:a16="http://schemas.microsoft.com/office/drawing/2014/main" id="{ECB8374E-51E9-4C1F-839F-5119F6106299}"/>
            </a:ext>
          </a:extLst>
        </xdr:cNvPr>
        <xdr:cNvSpPr/>
      </xdr:nvSpPr>
      <xdr:spPr>
        <a:xfrm>
          <a:off x="5419207" y="1476375"/>
          <a:ext cx="6629400" cy="1741715"/>
        </a:xfrm>
        <a:prstGeom prst="roundRect">
          <a:avLst>
            <a:gd name="adj" fmla="val 16205"/>
          </a:avLst>
        </a:prstGeom>
        <a:solidFill>
          <a:srgbClr val="FBBD21"/>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17</xdr:row>
      <xdr:rowOff>62593</xdr:rowOff>
    </xdr:from>
    <xdr:to>
      <xdr:col>29</xdr:col>
      <xdr:colOff>6022</xdr:colOff>
      <xdr:row>28</xdr:row>
      <xdr:rowOff>70213</xdr:rowOff>
    </xdr:to>
    <xdr:sp macro="" textlink="">
      <xdr:nvSpPr>
        <xdr:cNvPr id="20" name="Rectangle: Rounded Corners 19">
          <a:extLst>
            <a:ext uri="{FF2B5EF4-FFF2-40B4-BE49-F238E27FC236}">
              <a16:creationId xmlns:a16="http://schemas.microsoft.com/office/drawing/2014/main" id="{B43B5267-83A7-41DB-AA61-233B55278E82}"/>
            </a:ext>
          </a:extLst>
        </xdr:cNvPr>
        <xdr:cNvSpPr/>
      </xdr:nvSpPr>
      <xdr:spPr>
        <a:xfrm>
          <a:off x="12124870" y="3301093"/>
          <a:ext cx="5559552" cy="2103120"/>
        </a:xfrm>
        <a:prstGeom prst="roundRect">
          <a:avLst>
            <a:gd name="adj" fmla="val 16205"/>
          </a:avLst>
        </a:prstGeom>
        <a:solidFill>
          <a:schemeClr val="tx1">
            <a:lumMod val="85000"/>
            <a:lumOff val="15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28</xdr:row>
      <xdr:rowOff>153216</xdr:rowOff>
    </xdr:from>
    <xdr:to>
      <xdr:col>29</xdr:col>
      <xdr:colOff>8130</xdr:colOff>
      <xdr:row>40</xdr:row>
      <xdr:rowOff>134620</xdr:rowOff>
    </xdr:to>
    <xdr:sp macro="" textlink="">
      <xdr:nvSpPr>
        <xdr:cNvPr id="21" name="Rectangle: Rounded Corners 20">
          <a:extLst>
            <a:ext uri="{FF2B5EF4-FFF2-40B4-BE49-F238E27FC236}">
              <a16:creationId xmlns:a16="http://schemas.microsoft.com/office/drawing/2014/main" id="{27E3ABA4-F365-4C54-B781-3C4219A80F66}"/>
            </a:ext>
          </a:extLst>
        </xdr:cNvPr>
        <xdr:cNvSpPr/>
      </xdr:nvSpPr>
      <xdr:spPr>
        <a:xfrm>
          <a:off x="12124870" y="5487216"/>
          <a:ext cx="5561660" cy="2267404"/>
        </a:xfrm>
        <a:prstGeom prst="roundRect">
          <a:avLst>
            <a:gd name="adj" fmla="val 16205"/>
          </a:avLst>
        </a:prstGeom>
        <a:solidFill>
          <a:schemeClr val="tx1">
            <a:lumMod val="85000"/>
            <a:lumOff val="15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7</xdr:row>
      <xdr:rowOff>142875</xdr:rowOff>
    </xdr:from>
    <xdr:to>
      <xdr:col>29</xdr:col>
      <xdr:colOff>6022</xdr:colOff>
      <xdr:row>16</xdr:row>
      <xdr:rowOff>170090</xdr:rowOff>
    </xdr:to>
    <xdr:sp macro="" textlink="">
      <xdr:nvSpPr>
        <xdr:cNvPr id="22" name="Rectangle: Rounded Corners 21">
          <a:extLst>
            <a:ext uri="{FF2B5EF4-FFF2-40B4-BE49-F238E27FC236}">
              <a16:creationId xmlns:a16="http://schemas.microsoft.com/office/drawing/2014/main" id="{75B52F80-46C7-45E8-ADC9-0DD8F5841BB8}"/>
            </a:ext>
          </a:extLst>
        </xdr:cNvPr>
        <xdr:cNvSpPr/>
      </xdr:nvSpPr>
      <xdr:spPr>
        <a:xfrm>
          <a:off x="12124870" y="1476375"/>
          <a:ext cx="5559552" cy="1741715"/>
        </a:xfrm>
        <a:prstGeom prst="roundRect">
          <a:avLst>
            <a:gd name="adj" fmla="val 16205"/>
          </a:avLst>
        </a:prstGeom>
        <a:solidFill>
          <a:srgbClr val="FBBD21"/>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382588</xdr:colOff>
      <xdr:row>16</xdr:row>
      <xdr:rowOff>3175</xdr:rowOff>
    </xdr:from>
    <xdr:to>
      <xdr:col>8</xdr:col>
      <xdr:colOff>244475</xdr:colOff>
      <xdr:row>26</xdr:row>
      <xdr:rowOff>508</xdr:rowOff>
    </xdr:to>
    <xdr:grpSp>
      <xdr:nvGrpSpPr>
        <xdr:cNvPr id="23" name="top table">
          <a:extLst>
            <a:ext uri="{FF2B5EF4-FFF2-40B4-BE49-F238E27FC236}">
              <a16:creationId xmlns:a16="http://schemas.microsoft.com/office/drawing/2014/main" id="{101F5D01-AB2E-4E8A-9A5B-0DE2C50EF007}"/>
            </a:ext>
          </a:extLst>
        </xdr:cNvPr>
        <xdr:cNvGrpSpPr/>
      </xdr:nvGrpSpPr>
      <xdr:grpSpPr>
        <a:xfrm>
          <a:off x="2820988" y="3051175"/>
          <a:ext cx="2300287" cy="1902333"/>
          <a:chOff x="2873375" y="2908300"/>
          <a:chExt cx="2300287" cy="1902333"/>
        </a:xfrm>
      </xdr:grpSpPr>
      <xdr:cxnSp macro="">
        <xdr:nvCxnSpPr>
          <xdr:cNvPr id="24" name="Straight Connector 23">
            <a:extLst>
              <a:ext uri="{FF2B5EF4-FFF2-40B4-BE49-F238E27FC236}">
                <a16:creationId xmlns:a16="http://schemas.microsoft.com/office/drawing/2014/main" id="{AE6B4D09-8476-33B2-E425-B65D3ED280A9}"/>
              </a:ext>
            </a:extLst>
          </xdr:cNvPr>
          <xdr:cNvCxnSpPr/>
        </xdr:nvCxnSpPr>
        <xdr:spPr>
          <a:xfrm>
            <a:off x="2887662" y="3860801"/>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5" name="Straight Connector 24">
            <a:extLst>
              <a:ext uri="{FF2B5EF4-FFF2-40B4-BE49-F238E27FC236}">
                <a16:creationId xmlns:a16="http://schemas.microsoft.com/office/drawing/2014/main" id="{E70C7D29-3911-C3CA-1133-06357D6720A4}"/>
              </a:ext>
            </a:extLst>
          </xdr:cNvPr>
          <xdr:cNvCxnSpPr/>
        </xdr:nvCxnSpPr>
        <xdr:spPr>
          <a:xfrm>
            <a:off x="2878137" y="3389313"/>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6" name="Straight Connector 25">
            <a:extLst>
              <a:ext uri="{FF2B5EF4-FFF2-40B4-BE49-F238E27FC236}">
                <a16:creationId xmlns:a16="http://schemas.microsoft.com/office/drawing/2014/main" id="{F6639123-9707-EA8A-CCBE-0B4C2E531C68}"/>
              </a:ext>
            </a:extLst>
          </xdr:cNvPr>
          <xdr:cNvCxnSpPr/>
        </xdr:nvCxnSpPr>
        <xdr:spPr>
          <a:xfrm>
            <a:off x="2887662" y="4332289"/>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7" name="Straight Connector 26">
            <a:extLst>
              <a:ext uri="{FF2B5EF4-FFF2-40B4-BE49-F238E27FC236}">
                <a16:creationId xmlns:a16="http://schemas.microsoft.com/office/drawing/2014/main" id="{73955536-8482-9C3B-DB61-B7BC012CDA12}"/>
              </a:ext>
            </a:extLst>
          </xdr:cNvPr>
          <xdr:cNvCxnSpPr/>
        </xdr:nvCxnSpPr>
        <xdr:spPr>
          <a:xfrm flipH="1">
            <a:off x="4044950" y="2917825"/>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8" name="Straight Connector 27">
            <a:extLst>
              <a:ext uri="{FF2B5EF4-FFF2-40B4-BE49-F238E27FC236}">
                <a16:creationId xmlns:a16="http://schemas.microsoft.com/office/drawing/2014/main" id="{5DE48548-7BC1-892F-1C85-AC9F1A4313BD}"/>
              </a:ext>
            </a:extLst>
          </xdr:cNvPr>
          <xdr:cNvCxnSpPr/>
        </xdr:nvCxnSpPr>
        <xdr:spPr>
          <a:xfrm>
            <a:off x="2878137" y="4803775"/>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9" name="Straight Connector 28">
            <a:extLst>
              <a:ext uri="{FF2B5EF4-FFF2-40B4-BE49-F238E27FC236}">
                <a16:creationId xmlns:a16="http://schemas.microsoft.com/office/drawing/2014/main" id="{F7B1A719-78B7-8583-6522-22E6A983D65F}"/>
              </a:ext>
            </a:extLst>
          </xdr:cNvPr>
          <xdr:cNvCxnSpPr/>
        </xdr:nvCxnSpPr>
        <xdr:spPr>
          <a:xfrm>
            <a:off x="5168900" y="2913062"/>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0" name="Straight Connector 29">
            <a:extLst>
              <a:ext uri="{FF2B5EF4-FFF2-40B4-BE49-F238E27FC236}">
                <a16:creationId xmlns:a16="http://schemas.microsoft.com/office/drawing/2014/main" id="{C9650686-7E58-7891-572D-3DDD6FFDD790}"/>
              </a:ext>
            </a:extLst>
          </xdr:cNvPr>
          <xdr:cNvCxnSpPr/>
        </xdr:nvCxnSpPr>
        <xdr:spPr>
          <a:xfrm>
            <a:off x="2873375" y="2917825"/>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1" name="Straight Connector 30">
            <a:extLst>
              <a:ext uri="{FF2B5EF4-FFF2-40B4-BE49-F238E27FC236}">
                <a16:creationId xmlns:a16="http://schemas.microsoft.com/office/drawing/2014/main" id="{91CF4385-75CE-97F5-BE0A-58978A7E2C47}"/>
              </a:ext>
            </a:extLst>
          </xdr:cNvPr>
          <xdr:cNvCxnSpPr/>
        </xdr:nvCxnSpPr>
        <xdr:spPr>
          <a:xfrm>
            <a:off x="2878137" y="2908300"/>
            <a:ext cx="2286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382588</xdr:colOff>
      <xdr:row>29</xdr:row>
      <xdr:rowOff>165100</xdr:rowOff>
    </xdr:from>
    <xdr:to>
      <xdr:col>8</xdr:col>
      <xdr:colOff>244475</xdr:colOff>
      <xdr:row>39</xdr:row>
      <xdr:rowOff>162433</xdr:rowOff>
    </xdr:to>
    <xdr:grpSp>
      <xdr:nvGrpSpPr>
        <xdr:cNvPr id="32" name="bottom table">
          <a:extLst>
            <a:ext uri="{FF2B5EF4-FFF2-40B4-BE49-F238E27FC236}">
              <a16:creationId xmlns:a16="http://schemas.microsoft.com/office/drawing/2014/main" id="{4B1A5D53-D3D1-4678-A05D-8407E3D81772}"/>
            </a:ext>
          </a:extLst>
        </xdr:cNvPr>
        <xdr:cNvGrpSpPr/>
      </xdr:nvGrpSpPr>
      <xdr:grpSpPr>
        <a:xfrm>
          <a:off x="2820988" y="5689600"/>
          <a:ext cx="2300287" cy="1902333"/>
          <a:chOff x="2882899" y="5451475"/>
          <a:chExt cx="2300287" cy="1902333"/>
        </a:xfrm>
      </xdr:grpSpPr>
      <xdr:cxnSp macro="">
        <xdr:nvCxnSpPr>
          <xdr:cNvPr id="33" name="Straight Connector 32">
            <a:extLst>
              <a:ext uri="{FF2B5EF4-FFF2-40B4-BE49-F238E27FC236}">
                <a16:creationId xmlns:a16="http://schemas.microsoft.com/office/drawing/2014/main" id="{D7D774AA-9E6E-7F78-79CD-95FD4EEF1876}"/>
              </a:ext>
            </a:extLst>
          </xdr:cNvPr>
          <xdr:cNvCxnSpPr/>
        </xdr:nvCxnSpPr>
        <xdr:spPr>
          <a:xfrm>
            <a:off x="2897186" y="6403976"/>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4" name="Straight Connector 33">
            <a:extLst>
              <a:ext uri="{FF2B5EF4-FFF2-40B4-BE49-F238E27FC236}">
                <a16:creationId xmlns:a16="http://schemas.microsoft.com/office/drawing/2014/main" id="{97196C01-491F-6BE7-423A-FDC060950A57}"/>
              </a:ext>
            </a:extLst>
          </xdr:cNvPr>
          <xdr:cNvCxnSpPr/>
        </xdr:nvCxnSpPr>
        <xdr:spPr>
          <a:xfrm>
            <a:off x="2887661" y="5932488"/>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5" name="Straight Connector 34">
            <a:extLst>
              <a:ext uri="{FF2B5EF4-FFF2-40B4-BE49-F238E27FC236}">
                <a16:creationId xmlns:a16="http://schemas.microsoft.com/office/drawing/2014/main" id="{A7A06D7E-C130-F6A4-E9AC-EF784800C10D}"/>
              </a:ext>
            </a:extLst>
          </xdr:cNvPr>
          <xdr:cNvCxnSpPr/>
        </xdr:nvCxnSpPr>
        <xdr:spPr>
          <a:xfrm>
            <a:off x="2897186" y="6875464"/>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6" name="Straight Connector 35">
            <a:extLst>
              <a:ext uri="{FF2B5EF4-FFF2-40B4-BE49-F238E27FC236}">
                <a16:creationId xmlns:a16="http://schemas.microsoft.com/office/drawing/2014/main" id="{C5C7BDBB-1BB9-6823-63CC-7191DC65E35D}"/>
              </a:ext>
            </a:extLst>
          </xdr:cNvPr>
          <xdr:cNvCxnSpPr/>
        </xdr:nvCxnSpPr>
        <xdr:spPr>
          <a:xfrm flipH="1">
            <a:off x="4054474" y="5461000"/>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7" name="Straight Connector 36">
            <a:extLst>
              <a:ext uri="{FF2B5EF4-FFF2-40B4-BE49-F238E27FC236}">
                <a16:creationId xmlns:a16="http://schemas.microsoft.com/office/drawing/2014/main" id="{F3CACE20-834D-FE16-C63A-E4A913CA7EDD}"/>
              </a:ext>
            </a:extLst>
          </xdr:cNvPr>
          <xdr:cNvCxnSpPr/>
        </xdr:nvCxnSpPr>
        <xdr:spPr>
          <a:xfrm>
            <a:off x="2887661" y="7346950"/>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8" name="Straight Connector 37">
            <a:extLst>
              <a:ext uri="{FF2B5EF4-FFF2-40B4-BE49-F238E27FC236}">
                <a16:creationId xmlns:a16="http://schemas.microsoft.com/office/drawing/2014/main" id="{5F7553F4-CFD3-D1DF-63B8-6A4D8FF70DDF}"/>
              </a:ext>
            </a:extLst>
          </xdr:cNvPr>
          <xdr:cNvCxnSpPr/>
        </xdr:nvCxnSpPr>
        <xdr:spPr>
          <a:xfrm>
            <a:off x="5178424" y="5456237"/>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9" name="Straight Connector 38">
            <a:extLst>
              <a:ext uri="{FF2B5EF4-FFF2-40B4-BE49-F238E27FC236}">
                <a16:creationId xmlns:a16="http://schemas.microsoft.com/office/drawing/2014/main" id="{804B9A98-4D36-EB9C-2565-B8F442BF91F9}"/>
              </a:ext>
            </a:extLst>
          </xdr:cNvPr>
          <xdr:cNvCxnSpPr/>
        </xdr:nvCxnSpPr>
        <xdr:spPr>
          <a:xfrm>
            <a:off x="2882899" y="5461000"/>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0" name="Straight Connector 39">
            <a:extLst>
              <a:ext uri="{FF2B5EF4-FFF2-40B4-BE49-F238E27FC236}">
                <a16:creationId xmlns:a16="http://schemas.microsoft.com/office/drawing/2014/main" id="{D00E87AA-0F32-B635-4396-A12E872F9EC9}"/>
              </a:ext>
            </a:extLst>
          </xdr:cNvPr>
          <xdr:cNvCxnSpPr/>
        </xdr:nvCxnSpPr>
        <xdr:spPr>
          <a:xfrm>
            <a:off x="2887661" y="5451475"/>
            <a:ext cx="2286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6</xdr:col>
      <xdr:colOff>347663</xdr:colOff>
      <xdr:row>16</xdr:row>
      <xdr:rowOff>9525</xdr:rowOff>
    </xdr:from>
    <xdr:to>
      <xdr:col>8</xdr:col>
      <xdr:colOff>223838</xdr:colOff>
      <xdr:row>18</xdr:row>
      <xdr:rowOff>85725</xdr:rowOff>
    </xdr:to>
    <xdr:sp macro="" textlink="">
      <xdr:nvSpPr>
        <xdr:cNvPr id="41" name="TextBox 40">
          <a:extLst>
            <a:ext uri="{FF2B5EF4-FFF2-40B4-BE49-F238E27FC236}">
              <a16:creationId xmlns:a16="http://schemas.microsoft.com/office/drawing/2014/main" id="{A44BBF7B-D18B-408F-91FE-F20EFC745B74}"/>
            </a:ext>
          </a:extLst>
        </xdr:cNvPr>
        <xdr:cNvSpPr txBox="1"/>
      </xdr:nvSpPr>
      <xdr:spPr>
        <a:xfrm>
          <a:off x="4005263" y="30575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ea typeface="ADLaM Display" panose="02010000000000000000" pitchFamily="2" charset="0"/>
              <a:cs typeface="ADLaM Display" panose="02010000000000000000" pitchFamily="2" charset="0"/>
            </a:rPr>
            <a:t>2016</a:t>
          </a:r>
        </a:p>
      </xdr:txBody>
    </xdr:sp>
    <xdr:clientData/>
  </xdr:twoCellAnchor>
  <xdr:twoCellAnchor>
    <xdr:from>
      <xdr:col>6</xdr:col>
      <xdr:colOff>347663</xdr:colOff>
      <xdr:row>18</xdr:row>
      <xdr:rowOff>98425</xdr:rowOff>
    </xdr:from>
    <xdr:to>
      <xdr:col>8</xdr:col>
      <xdr:colOff>223838</xdr:colOff>
      <xdr:row>20</xdr:row>
      <xdr:rowOff>174625</xdr:rowOff>
    </xdr:to>
    <xdr:sp macro="" textlink="">
      <xdr:nvSpPr>
        <xdr:cNvPr id="42" name="TextBox 41">
          <a:extLst>
            <a:ext uri="{FF2B5EF4-FFF2-40B4-BE49-F238E27FC236}">
              <a16:creationId xmlns:a16="http://schemas.microsoft.com/office/drawing/2014/main" id="{3F12A18E-263A-42EB-84AD-55A9C7F3474B}"/>
            </a:ext>
          </a:extLst>
        </xdr:cNvPr>
        <xdr:cNvSpPr txBox="1"/>
      </xdr:nvSpPr>
      <xdr:spPr>
        <a:xfrm>
          <a:off x="4005263" y="35274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ea typeface="ADLaM Display" panose="02010000000000000000" pitchFamily="2" charset="0"/>
              <a:cs typeface="ADLaM Display" panose="02010000000000000000" pitchFamily="2" charset="0"/>
            </a:rPr>
            <a:t>2017</a:t>
          </a:r>
        </a:p>
      </xdr:txBody>
    </xdr:sp>
    <xdr:clientData/>
  </xdr:twoCellAnchor>
  <xdr:twoCellAnchor>
    <xdr:from>
      <xdr:col>6</xdr:col>
      <xdr:colOff>347663</xdr:colOff>
      <xdr:row>20</xdr:row>
      <xdr:rowOff>187325</xdr:rowOff>
    </xdr:from>
    <xdr:to>
      <xdr:col>8</xdr:col>
      <xdr:colOff>223838</xdr:colOff>
      <xdr:row>23</xdr:row>
      <xdr:rowOff>73025</xdr:rowOff>
    </xdr:to>
    <xdr:sp macro="" textlink="">
      <xdr:nvSpPr>
        <xdr:cNvPr id="43" name="TextBox 42">
          <a:extLst>
            <a:ext uri="{FF2B5EF4-FFF2-40B4-BE49-F238E27FC236}">
              <a16:creationId xmlns:a16="http://schemas.microsoft.com/office/drawing/2014/main" id="{711DA89A-F18C-4837-AAE6-187AED6479CA}"/>
            </a:ext>
          </a:extLst>
        </xdr:cNvPr>
        <xdr:cNvSpPr txBox="1"/>
      </xdr:nvSpPr>
      <xdr:spPr>
        <a:xfrm>
          <a:off x="4005263" y="39973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ea typeface="ADLaM Display" panose="02010000000000000000" pitchFamily="2" charset="0"/>
              <a:cs typeface="ADLaM Display" panose="02010000000000000000" pitchFamily="2" charset="0"/>
            </a:rPr>
            <a:t>2018</a:t>
          </a:r>
        </a:p>
      </xdr:txBody>
    </xdr:sp>
    <xdr:clientData/>
  </xdr:twoCellAnchor>
  <xdr:twoCellAnchor>
    <xdr:from>
      <xdr:col>6</xdr:col>
      <xdr:colOff>347663</xdr:colOff>
      <xdr:row>23</xdr:row>
      <xdr:rowOff>85725</xdr:rowOff>
    </xdr:from>
    <xdr:to>
      <xdr:col>8</xdr:col>
      <xdr:colOff>223838</xdr:colOff>
      <xdr:row>25</xdr:row>
      <xdr:rowOff>161925</xdr:rowOff>
    </xdr:to>
    <xdr:sp macro="" textlink="">
      <xdr:nvSpPr>
        <xdr:cNvPr id="44" name="TextBox 43">
          <a:extLst>
            <a:ext uri="{FF2B5EF4-FFF2-40B4-BE49-F238E27FC236}">
              <a16:creationId xmlns:a16="http://schemas.microsoft.com/office/drawing/2014/main" id="{5C645918-2865-40B9-8DFD-2BD2AF00DC79}"/>
            </a:ext>
          </a:extLst>
        </xdr:cNvPr>
        <xdr:cNvSpPr txBox="1"/>
      </xdr:nvSpPr>
      <xdr:spPr>
        <a:xfrm>
          <a:off x="4005263" y="44672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ea typeface="ADLaM Display" panose="02010000000000000000" pitchFamily="2" charset="0"/>
              <a:cs typeface="ADLaM Display" panose="02010000000000000000" pitchFamily="2" charset="0"/>
            </a:rPr>
            <a:t>2019</a:t>
          </a:r>
        </a:p>
      </xdr:txBody>
    </xdr:sp>
    <xdr:clientData/>
  </xdr:twoCellAnchor>
  <xdr:twoCellAnchor>
    <xdr:from>
      <xdr:col>4</xdr:col>
      <xdr:colOff>415925</xdr:colOff>
      <xdr:row>16</xdr:row>
      <xdr:rowOff>3175</xdr:rowOff>
    </xdr:from>
    <xdr:to>
      <xdr:col>6</xdr:col>
      <xdr:colOff>292100</xdr:colOff>
      <xdr:row>18</xdr:row>
      <xdr:rowOff>79375</xdr:rowOff>
    </xdr:to>
    <xdr:sp macro="" textlink="electricity_analysis!$F$9">
      <xdr:nvSpPr>
        <xdr:cNvPr id="45" name="TextBox 44">
          <a:extLst>
            <a:ext uri="{FF2B5EF4-FFF2-40B4-BE49-F238E27FC236}">
              <a16:creationId xmlns:a16="http://schemas.microsoft.com/office/drawing/2014/main" id="{9FCCBEE7-D035-4AE8-9B4D-6ADA0B2457AC}"/>
            </a:ext>
          </a:extLst>
        </xdr:cNvPr>
        <xdr:cNvSpPr txBox="1"/>
      </xdr:nvSpPr>
      <xdr:spPr>
        <a:xfrm>
          <a:off x="2854325" y="30511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FAAEF7-CB6B-4439-9852-48AFF9572CAC}" type="TxLink">
            <a:rPr lang="en-US" sz="1400" b="1" i="0" u="none" strike="noStrike">
              <a:solidFill>
                <a:srgbClr val="000000"/>
              </a:solidFill>
              <a:latin typeface="Aptos Display (Headings)"/>
            </a:rPr>
            <a:t>$394,720</a:t>
          </a:fld>
          <a:endParaRPr lang="en-US" sz="2400" b="1">
            <a:solidFill>
              <a:schemeClr val="tx1"/>
            </a:solidFill>
            <a:latin typeface="Aptos Display (Headings)"/>
          </a:endParaRPr>
        </a:p>
      </xdr:txBody>
    </xdr:sp>
    <xdr:clientData/>
  </xdr:twoCellAnchor>
  <xdr:twoCellAnchor>
    <xdr:from>
      <xdr:col>4</xdr:col>
      <xdr:colOff>415925</xdr:colOff>
      <xdr:row>18</xdr:row>
      <xdr:rowOff>92075</xdr:rowOff>
    </xdr:from>
    <xdr:to>
      <xdr:col>6</xdr:col>
      <xdr:colOff>323850</xdr:colOff>
      <xdr:row>20</xdr:row>
      <xdr:rowOff>168275</xdr:rowOff>
    </xdr:to>
    <xdr:sp macro="" textlink="electricity_analysis!$F$10">
      <xdr:nvSpPr>
        <xdr:cNvPr id="46" name="TextBox 45">
          <a:extLst>
            <a:ext uri="{FF2B5EF4-FFF2-40B4-BE49-F238E27FC236}">
              <a16:creationId xmlns:a16="http://schemas.microsoft.com/office/drawing/2014/main" id="{13386A55-7D56-4CFD-9A97-68B48BA53CED}"/>
            </a:ext>
          </a:extLst>
        </xdr:cNvPr>
        <xdr:cNvSpPr txBox="1"/>
      </xdr:nvSpPr>
      <xdr:spPr>
        <a:xfrm>
          <a:off x="2854325" y="3521075"/>
          <a:ext cx="1127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E2B3F3-2D6E-47AE-B4B7-AF1F59F73A6A}" type="TxLink">
            <a:rPr lang="en-US" sz="1400" b="1" i="0" u="none" strike="noStrike">
              <a:solidFill>
                <a:srgbClr val="000000"/>
              </a:solidFill>
              <a:latin typeface="Aptos Display (Headings)"/>
            </a:rPr>
            <a:t>$461,454</a:t>
          </a:fld>
          <a:endParaRPr lang="en-US" sz="4000" b="1">
            <a:solidFill>
              <a:schemeClr val="tx1"/>
            </a:solidFill>
            <a:latin typeface="Aptos Display (Headings)"/>
          </a:endParaRPr>
        </a:p>
      </xdr:txBody>
    </xdr:sp>
    <xdr:clientData/>
  </xdr:twoCellAnchor>
  <xdr:twoCellAnchor>
    <xdr:from>
      <xdr:col>4</xdr:col>
      <xdr:colOff>415925</xdr:colOff>
      <xdr:row>20</xdr:row>
      <xdr:rowOff>180975</xdr:rowOff>
    </xdr:from>
    <xdr:to>
      <xdr:col>6</xdr:col>
      <xdr:colOff>323850</xdr:colOff>
      <xdr:row>23</xdr:row>
      <xdr:rowOff>66675</xdr:rowOff>
    </xdr:to>
    <xdr:sp macro="" textlink="electricity_analysis!$F$11">
      <xdr:nvSpPr>
        <xdr:cNvPr id="47" name="TextBox 46">
          <a:extLst>
            <a:ext uri="{FF2B5EF4-FFF2-40B4-BE49-F238E27FC236}">
              <a16:creationId xmlns:a16="http://schemas.microsoft.com/office/drawing/2014/main" id="{3B701B0A-8F58-4569-B44B-5A63CF91F81A}"/>
            </a:ext>
          </a:extLst>
        </xdr:cNvPr>
        <xdr:cNvSpPr txBox="1"/>
      </xdr:nvSpPr>
      <xdr:spPr>
        <a:xfrm>
          <a:off x="2854325" y="3990975"/>
          <a:ext cx="1127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F0ADDC-C621-4634-BBF1-F852235EC084}" type="TxLink">
            <a:rPr lang="en-US" sz="1400" b="1" i="0" u="none" strike="noStrike">
              <a:solidFill>
                <a:srgbClr val="000000"/>
              </a:solidFill>
              <a:latin typeface="Aptos Display (Headings)"/>
            </a:rPr>
            <a:t>$542,462</a:t>
          </a:fld>
          <a:endParaRPr lang="en-US" sz="3200" b="1">
            <a:solidFill>
              <a:schemeClr val="tx1"/>
            </a:solidFill>
            <a:latin typeface="Aptos Display (Headings)"/>
          </a:endParaRPr>
        </a:p>
      </xdr:txBody>
    </xdr:sp>
    <xdr:clientData/>
  </xdr:twoCellAnchor>
  <xdr:twoCellAnchor>
    <xdr:from>
      <xdr:col>4</xdr:col>
      <xdr:colOff>415925</xdr:colOff>
      <xdr:row>23</xdr:row>
      <xdr:rowOff>79375</xdr:rowOff>
    </xdr:from>
    <xdr:to>
      <xdr:col>6</xdr:col>
      <xdr:colOff>352425</xdr:colOff>
      <xdr:row>25</xdr:row>
      <xdr:rowOff>155575</xdr:rowOff>
    </xdr:to>
    <xdr:sp macro="" textlink="electricity_analysis!$F$12">
      <xdr:nvSpPr>
        <xdr:cNvPr id="48" name="TextBox 47">
          <a:extLst>
            <a:ext uri="{FF2B5EF4-FFF2-40B4-BE49-F238E27FC236}">
              <a16:creationId xmlns:a16="http://schemas.microsoft.com/office/drawing/2014/main" id="{6A9D2126-39D4-4D69-B82E-84A8290051FE}"/>
            </a:ext>
          </a:extLst>
        </xdr:cNvPr>
        <xdr:cNvSpPr txBox="1"/>
      </xdr:nvSpPr>
      <xdr:spPr>
        <a:xfrm>
          <a:off x="2854325" y="4460875"/>
          <a:ext cx="11557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FBB3DF-79D0-49B6-ADDC-AAADF7E936B9}" type="TxLink">
            <a:rPr lang="en-US" sz="1400" b="1" i="0" u="none" strike="noStrike">
              <a:solidFill>
                <a:srgbClr val="000000"/>
              </a:solidFill>
              <a:latin typeface="Aptos Display (Headings)"/>
            </a:rPr>
            <a:t>$626,660</a:t>
          </a:fld>
          <a:endParaRPr lang="en-US" sz="3200" b="1">
            <a:solidFill>
              <a:schemeClr val="tx1"/>
            </a:solidFill>
            <a:latin typeface="Aptos Display (Headings)"/>
          </a:endParaRPr>
        </a:p>
      </xdr:txBody>
    </xdr:sp>
    <xdr:clientData/>
  </xdr:twoCellAnchor>
  <xdr:twoCellAnchor>
    <xdr:from>
      <xdr:col>6</xdr:col>
      <xdr:colOff>338137</xdr:colOff>
      <xdr:row>29</xdr:row>
      <xdr:rowOff>180975</xdr:rowOff>
    </xdr:from>
    <xdr:to>
      <xdr:col>8</xdr:col>
      <xdr:colOff>214312</xdr:colOff>
      <xdr:row>32</xdr:row>
      <xdr:rowOff>66675</xdr:rowOff>
    </xdr:to>
    <xdr:sp macro="" textlink="">
      <xdr:nvSpPr>
        <xdr:cNvPr id="49" name="TextBox 48">
          <a:extLst>
            <a:ext uri="{FF2B5EF4-FFF2-40B4-BE49-F238E27FC236}">
              <a16:creationId xmlns:a16="http://schemas.microsoft.com/office/drawing/2014/main" id="{64891FBE-C52E-4172-80A3-B411EC0E967D}"/>
            </a:ext>
          </a:extLst>
        </xdr:cNvPr>
        <xdr:cNvSpPr txBox="1"/>
      </xdr:nvSpPr>
      <xdr:spPr>
        <a:xfrm>
          <a:off x="3995737" y="57054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rPr>
            <a:t>2016</a:t>
          </a:r>
        </a:p>
      </xdr:txBody>
    </xdr:sp>
    <xdr:clientData/>
  </xdr:twoCellAnchor>
  <xdr:twoCellAnchor>
    <xdr:from>
      <xdr:col>6</xdr:col>
      <xdr:colOff>338137</xdr:colOff>
      <xdr:row>32</xdr:row>
      <xdr:rowOff>79375</xdr:rowOff>
    </xdr:from>
    <xdr:to>
      <xdr:col>8</xdr:col>
      <xdr:colOff>214312</xdr:colOff>
      <xdr:row>34</xdr:row>
      <xdr:rowOff>155575</xdr:rowOff>
    </xdr:to>
    <xdr:sp macro="" textlink="">
      <xdr:nvSpPr>
        <xdr:cNvPr id="50" name="TextBox 49">
          <a:extLst>
            <a:ext uri="{FF2B5EF4-FFF2-40B4-BE49-F238E27FC236}">
              <a16:creationId xmlns:a16="http://schemas.microsoft.com/office/drawing/2014/main" id="{0623121C-C79A-4236-B41E-D2F57C4E698C}"/>
            </a:ext>
          </a:extLst>
        </xdr:cNvPr>
        <xdr:cNvSpPr txBox="1"/>
      </xdr:nvSpPr>
      <xdr:spPr>
        <a:xfrm>
          <a:off x="3995737" y="61753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rPr>
            <a:t>2017</a:t>
          </a:r>
        </a:p>
      </xdr:txBody>
    </xdr:sp>
    <xdr:clientData/>
  </xdr:twoCellAnchor>
  <xdr:twoCellAnchor>
    <xdr:from>
      <xdr:col>6</xdr:col>
      <xdr:colOff>338137</xdr:colOff>
      <xdr:row>34</xdr:row>
      <xdr:rowOff>168275</xdr:rowOff>
    </xdr:from>
    <xdr:to>
      <xdr:col>8</xdr:col>
      <xdr:colOff>214312</xdr:colOff>
      <xdr:row>37</xdr:row>
      <xdr:rowOff>53975</xdr:rowOff>
    </xdr:to>
    <xdr:sp macro="" textlink="">
      <xdr:nvSpPr>
        <xdr:cNvPr id="51" name="TextBox 50">
          <a:extLst>
            <a:ext uri="{FF2B5EF4-FFF2-40B4-BE49-F238E27FC236}">
              <a16:creationId xmlns:a16="http://schemas.microsoft.com/office/drawing/2014/main" id="{159E9CF7-9FDB-4AA8-9130-6C283445D564}"/>
            </a:ext>
          </a:extLst>
        </xdr:cNvPr>
        <xdr:cNvSpPr txBox="1"/>
      </xdr:nvSpPr>
      <xdr:spPr>
        <a:xfrm>
          <a:off x="3995737" y="66452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rPr>
            <a:t>2018</a:t>
          </a:r>
        </a:p>
      </xdr:txBody>
    </xdr:sp>
    <xdr:clientData/>
  </xdr:twoCellAnchor>
  <xdr:twoCellAnchor>
    <xdr:from>
      <xdr:col>6</xdr:col>
      <xdr:colOff>338137</xdr:colOff>
      <xdr:row>37</xdr:row>
      <xdr:rowOff>66675</xdr:rowOff>
    </xdr:from>
    <xdr:to>
      <xdr:col>8</xdr:col>
      <xdr:colOff>214312</xdr:colOff>
      <xdr:row>39</xdr:row>
      <xdr:rowOff>142875</xdr:rowOff>
    </xdr:to>
    <xdr:sp macro="" textlink="">
      <xdr:nvSpPr>
        <xdr:cNvPr id="52" name="TextBox 51">
          <a:extLst>
            <a:ext uri="{FF2B5EF4-FFF2-40B4-BE49-F238E27FC236}">
              <a16:creationId xmlns:a16="http://schemas.microsoft.com/office/drawing/2014/main" id="{5FA4034D-F7ED-4E38-9A3C-638390633F0E}"/>
            </a:ext>
          </a:extLst>
        </xdr:cNvPr>
        <xdr:cNvSpPr txBox="1"/>
      </xdr:nvSpPr>
      <xdr:spPr>
        <a:xfrm>
          <a:off x="3995737" y="71151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rPr>
            <a:t>2019</a:t>
          </a:r>
        </a:p>
      </xdr:txBody>
    </xdr:sp>
    <xdr:clientData/>
  </xdr:twoCellAnchor>
  <xdr:twoCellAnchor>
    <xdr:from>
      <xdr:col>4</xdr:col>
      <xdr:colOff>295275</xdr:colOff>
      <xdr:row>29</xdr:row>
      <xdr:rowOff>174625</xdr:rowOff>
    </xdr:from>
    <xdr:to>
      <xdr:col>6</xdr:col>
      <xdr:colOff>428625</xdr:colOff>
      <xdr:row>32</xdr:row>
      <xdr:rowOff>60325</xdr:rowOff>
    </xdr:to>
    <xdr:sp macro="" textlink="electricity_analysis!$C$9">
      <xdr:nvSpPr>
        <xdr:cNvPr id="53" name="TextBox 52">
          <a:extLst>
            <a:ext uri="{FF2B5EF4-FFF2-40B4-BE49-F238E27FC236}">
              <a16:creationId xmlns:a16="http://schemas.microsoft.com/office/drawing/2014/main" id="{3580E30B-853A-442F-B556-EA6DEE0A3D8B}"/>
            </a:ext>
          </a:extLst>
        </xdr:cNvPr>
        <xdr:cNvSpPr txBox="1"/>
      </xdr:nvSpPr>
      <xdr:spPr>
        <a:xfrm>
          <a:off x="2733675" y="5699125"/>
          <a:ext cx="13525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0BEE60-CB18-492F-AE0F-F7B4A8C4FEAF}" type="TxLink">
            <a:rPr lang="en-US" sz="1400" b="1" i="0" u="none" strike="noStrike">
              <a:solidFill>
                <a:srgbClr val="000000"/>
              </a:solidFill>
              <a:latin typeface="Aptos Display (Headings)"/>
            </a:rPr>
            <a:t>4,934,000 Wh</a:t>
          </a:fld>
          <a:endParaRPr lang="en-US" sz="2000" b="1">
            <a:solidFill>
              <a:schemeClr val="tx1"/>
            </a:solidFill>
            <a:latin typeface="Aptos Display (Headings)"/>
          </a:endParaRPr>
        </a:p>
      </xdr:txBody>
    </xdr:sp>
    <xdr:clientData/>
  </xdr:twoCellAnchor>
  <xdr:twoCellAnchor>
    <xdr:from>
      <xdr:col>4</xdr:col>
      <xdr:colOff>295275</xdr:colOff>
      <xdr:row>32</xdr:row>
      <xdr:rowOff>73025</xdr:rowOff>
    </xdr:from>
    <xdr:to>
      <xdr:col>6</xdr:col>
      <xdr:colOff>429387</xdr:colOff>
      <xdr:row>34</xdr:row>
      <xdr:rowOff>149225</xdr:rowOff>
    </xdr:to>
    <xdr:sp macro="" textlink="electricity_analysis!$C$10">
      <xdr:nvSpPr>
        <xdr:cNvPr id="54" name="TextBox 53">
          <a:extLst>
            <a:ext uri="{FF2B5EF4-FFF2-40B4-BE49-F238E27FC236}">
              <a16:creationId xmlns:a16="http://schemas.microsoft.com/office/drawing/2014/main" id="{165BD81E-E84C-427D-BD31-DB6BB402CD86}"/>
            </a:ext>
          </a:extLst>
        </xdr:cNvPr>
        <xdr:cNvSpPr txBox="1"/>
      </xdr:nvSpPr>
      <xdr:spPr>
        <a:xfrm>
          <a:off x="2733675" y="6169025"/>
          <a:ext cx="135331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3FE0EB-17E4-4649-84EE-DD58C8B35511}" type="TxLink">
            <a:rPr lang="en-US" sz="1400" b="1" i="0" u="none" strike="noStrike">
              <a:solidFill>
                <a:srgbClr val="000000"/>
              </a:solidFill>
              <a:latin typeface="Aptos Display (Headings)"/>
            </a:rPr>
            <a:t>5,243,790 Wh</a:t>
          </a:fld>
          <a:endParaRPr lang="en-US" sz="3200" b="1">
            <a:solidFill>
              <a:schemeClr val="tx1"/>
            </a:solidFill>
            <a:latin typeface="Aptos Display (Headings)"/>
          </a:endParaRPr>
        </a:p>
      </xdr:txBody>
    </xdr:sp>
    <xdr:clientData/>
  </xdr:twoCellAnchor>
  <xdr:twoCellAnchor>
    <xdr:from>
      <xdr:col>4</xdr:col>
      <xdr:colOff>295275</xdr:colOff>
      <xdr:row>34</xdr:row>
      <xdr:rowOff>161925</xdr:rowOff>
    </xdr:from>
    <xdr:to>
      <xdr:col>6</xdr:col>
      <xdr:colOff>429387</xdr:colOff>
      <xdr:row>37</xdr:row>
      <xdr:rowOff>47625</xdr:rowOff>
    </xdr:to>
    <xdr:sp macro="" textlink="electricity_analysis!$C$11">
      <xdr:nvSpPr>
        <xdr:cNvPr id="55" name="TextBox 54">
          <a:extLst>
            <a:ext uri="{FF2B5EF4-FFF2-40B4-BE49-F238E27FC236}">
              <a16:creationId xmlns:a16="http://schemas.microsoft.com/office/drawing/2014/main" id="{458D3C7B-8E39-4414-8DF8-230E1F4A8BF0}"/>
            </a:ext>
          </a:extLst>
        </xdr:cNvPr>
        <xdr:cNvSpPr txBox="1"/>
      </xdr:nvSpPr>
      <xdr:spPr>
        <a:xfrm>
          <a:off x="2733675" y="6638925"/>
          <a:ext cx="135331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4F7BBE-7AEB-4B66-A4F7-1834BC6B9E9A}" type="TxLink">
            <a:rPr lang="en-US" sz="1400" b="1" i="0" u="none" strike="noStrike">
              <a:solidFill>
                <a:srgbClr val="000000"/>
              </a:solidFill>
              <a:latin typeface="Aptos Display (Headings)"/>
            </a:rPr>
            <a:t>5,603,950 Wh</a:t>
          </a:fld>
          <a:endParaRPr lang="en-US" sz="3200" b="1">
            <a:solidFill>
              <a:schemeClr val="tx1"/>
            </a:solidFill>
            <a:latin typeface="Aptos Display (Headings)"/>
          </a:endParaRPr>
        </a:p>
      </xdr:txBody>
    </xdr:sp>
    <xdr:clientData/>
  </xdr:twoCellAnchor>
  <xdr:twoCellAnchor>
    <xdr:from>
      <xdr:col>4</xdr:col>
      <xdr:colOff>295275</xdr:colOff>
      <xdr:row>37</xdr:row>
      <xdr:rowOff>60325</xdr:rowOff>
    </xdr:from>
    <xdr:to>
      <xdr:col>6</xdr:col>
      <xdr:colOff>429387</xdr:colOff>
      <xdr:row>39</xdr:row>
      <xdr:rowOff>136525</xdr:rowOff>
    </xdr:to>
    <xdr:sp macro="" textlink="electricity_analysis!$C$12">
      <xdr:nvSpPr>
        <xdr:cNvPr id="56" name="TextBox 55">
          <a:extLst>
            <a:ext uri="{FF2B5EF4-FFF2-40B4-BE49-F238E27FC236}">
              <a16:creationId xmlns:a16="http://schemas.microsoft.com/office/drawing/2014/main" id="{CEF9D770-96F5-4E17-843B-7808D95EA099}"/>
            </a:ext>
          </a:extLst>
        </xdr:cNvPr>
        <xdr:cNvSpPr txBox="1"/>
      </xdr:nvSpPr>
      <xdr:spPr>
        <a:xfrm>
          <a:off x="2733675" y="7108825"/>
          <a:ext cx="135331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DB48B2-7A0B-4922-AD1A-190CCBD6AD36}" type="TxLink">
            <a:rPr lang="en-US" sz="1400" b="1" i="0" u="none" strike="noStrike">
              <a:solidFill>
                <a:srgbClr val="000000"/>
              </a:solidFill>
              <a:latin typeface="Aptos Display (Headings)"/>
            </a:rPr>
            <a:t>5,885,238 Wh</a:t>
          </a:fld>
          <a:endParaRPr lang="en-US" sz="3200" b="1">
            <a:solidFill>
              <a:schemeClr val="tx1"/>
            </a:solidFill>
            <a:latin typeface="Aptos Display (Headings)"/>
          </a:endParaRPr>
        </a:p>
      </xdr:txBody>
    </xdr:sp>
    <xdr:clientData/>
  </xdr:twoCellAnchor>
  <xdr:twoCellAnchor>
    <xdr:from>
      <xdr:col>4</xdr:col>
      <xdr:colOff>371475</xdr:colOff>
      <xdr:row>13</xdr:row>
      <xdr:rowOff>133349</xdr:rowOff>
    </xdr:from>
    <xdr:to>
      <xdr:col>8</xdr:col>
      <xdr:colOff>190500</xdr:colOff>
      <xdr:row>15</xdr:row>
      <xdr:rowOff>117474</xdr:rowOff>
    </xdr:to>
    <xdr:sp macro="" textlink="">
      <xdr:nvSpPr>
        <xdr:cNvPr id="58" name="TextBox 57">
          <a:extLst>
            <a:ext uri="{FF2B5EF4-FFF2-40B4-BE49-F238E27FC236}">
              <a16:creationId xmlns:a16="http://schemas.microsoft.com/office/drawing/2014/main" id="{BDFE71B8-9D2C-474C-BADA-78B6AFB9B19B}"/>
            </a:ext>
          </a:extLst>
        </xdr:cNvPr>
        <xdr:cNvSpPr txBox="1"/>
      </xdr:nvSpPr>
      <xdr:spPr>
        <a:xfrm>
          <a:off x="2809875" y="2609849"/>
          <a:ext cx="22574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Constantia" panose="02030602050306030303" pitchFamily="18" charset="0"/>
            </a:rPr>
            <a:t>Financial</a:t>
          </a:r>
          <a:r>
            <a:rPr lang="en-US" sz="1400" b="1" baseline="0">
              <a:solidFill>
                <a:schemeClr val="tx1"/>
              </a:solidFill>
              <a:latin typeface="Constantia" panose="02030602050306030303" pitchFamily="18" charset="0"/>
            </a:rPr>
            <a:t> Outflow</a:t>
          </a:r>
          <a:endParaRPr lang="en-US" sz="1400" b="1">
            <a:solidFill>
              <a:schemeClr val="tx1"/>
            </a:solidFill>
            <a:latin typeface="Constantia" panose="02030602050306030303" pitchFamily="18" charset="0"/>
          </a:endParaRPr>
        </a:p>
      </xdr:txBody>
    </xdr:sp>
    <xdr:clientData/>
  </xdr:twoCellAnchor>
  <xdr:twoCellAnchor>
    <xdr:from>
      <xdr:col>4</xdr:col>
      <xdr:colOff>285750</xdr:colOff>
      <xdr:row>27</xdr:row>
      <xdr:rowOff>95249</xdr:rowOff>
    </xdr:from>
    <xdr:to>
      <xdr:col>8</xdr:col>
      <xdr:colOff>219075</xdr:colOff>
      <xdr:row>29</xdr:row>
      <xdr:rowOff>79374</xdr:rowOff>
    </xdr:to>
    <xdr:sp macro="" textlink="">
      <xdr:nvSpPr>
        <xdr:cNvPr id="59" name="TextBox 58">
          <a:extLst>
            <a:ext uri="{FF2B5EF4-FFF2-40B4-BE49-F238E27FC236}">
              <a16:creationId xmlns:a16="http://schemas.microsoft.com/office/drawing/2014/main" id="{D78DCD0E-D642-4EEA-815E-CE0F48DDBDC6}"/>
            </a:ext>
          </a:extLst>
        </xdr:cNvPr>
        <xdr:cNvSpPr txBox="1"/>
      </xdr:nvSpPr>
      <xdr:spPr>
        <a:xfrm>
          <a:off x="2724150" y="5238749"/>
          <a:ext cx="23717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Constantia" panose="02030602050306030303" pitchFamily="18" charset="0"/>
            </a:rPr>
            <a:t>Yearly</a:t>
          </a:r>
          <a:r>
            <a:rPr lang="en-US" sz="1400" b="1" baseline="0">
              <a:solidFill>
                <a:schemeClr val="tx1"/>
              </a:solidFill>
              <a:latin typeface="Constantia" panose="02030602050306030303" pitchFamily="18" charset="0"/>
            </a:rPr>
            <a:t> Power Share</a:t>
          </a:r>
          <a:endParaRPr lang="en-US" sz="1400" b="1">
            <a:solidFill>
              <a:schemeClr val="tx1"/>
            </a:solidFill>
            <a:latin typeface="Constantia" panose="02030602050306030303" pitchFamily="18" charset="0"/>
          </a:endParaRPr>
        </a:p>
      </xdr:txBody>
    </xdr:sp>
    <xdr:clientData/>
  </xdr:twoCellAnchor>
  <xdr:twoCellAnchor editAs="oneCell">
    <xdr:from>
      <xdr:col>7</xdr:col>
      <xdr:colOff>514350</xdr:colOff>
      <xdr:row>8</xdr:row>
      <xdr:rowOff>19050</xdr:rowOff>
    </xdr:from>
    <xdr:to>
      <xdr:col>8</xdr:col>
      <xdr:colOff>453390</xdr:colOff>
      <xdr:row>10</xdr:row>
      <xdr:rowOff>186690</xdr:rowOff>
    </xdr:to>
    <xdr:pic>
      <xdr:nvPicPr>
        <xdr:cNvPr id="60" name="Graphic 59" descr="Dollar with solid fill">
          <a:extLst>
            <a:ext uri="{FF2B5EF4-FFF2-40B4-BE49-F238E27FC236}">
              <a16:creationId xmlns:a16="http://schemas.microsoft.com/office/drawing/2014/main" id="{793145C6-EB96-4882-9225-060274CD80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81550" y="1543050"/>
          <a:ext cx="548640" cy="548640"/>
        </a:xfrm>
        <a:prstGeom prst="rect">
          <a:avLst/>
        </a:prstGeom>
      </xdr:spPr>
    </xdr:pic>
    <xdr:clientData/>
  </xdr:twoCellAnchor>
  <xdr:twoCellAnchor editAs="oneCell">
    <xdr:from>
      <xdr:col>0</xdr:col>
      <xdr:colOff>119025</xdr:colOff>
      <xdr:row>8</xdr:row>
      <xdr:rowOff>71400</xdr:rowOff>
    </xdr:from>
    <xdr:to>
      <xdr:col>1</xdr:col>
      <xdr:colOff>295275</xdr:colOff>
      <xdr:row>12</xdr:row>
      <xdr:rowOff>95250</xdr:rowOff>
    </xdr:to>
    <xdr:pic>
      <xdr:nvPicPr>
        <xdr:cNvPr id="61" name="Graphic 60" descr="Building with solid fill">
          <a:extLst>
            <a:ext uri="{FF2B5EF4-FFF2-40B4-BE49-F238E27FC236}">
              <a16:creationId xmlns:a16="http://schemas.microsoft.com/office/drawing/2014/main" id="{4542975B-B931-423A-8BC6-06EB442B14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025" y="1595400"/>
          <a:ext cx="785850" cy="785850"/>
        </a:xfrm>
        <a:prstGeom prst="rect">
          <a:avLst/>
        </a:prstGeom>
      </xdr:spPr>
    </xdr:pic>
    <xdr:clientData/>
  </xdr:twoCellAnchor>
  <xdr:twoCellAnchor>
    <xdr:from>
      <xdr:col>1</xdr:col>
      <xdr:colOff>127789</xdr:colOff>
      <xdr:row>8</xdr:row>
      <xdr:rowOff>52388</xdr:rowOff>
    </xdr:from>
    <xdr:to>
      <xdr:col>2</xdr:col>
      <xdr:colOff>511964</xdr:colOff>
      <xdr:row>9</xdr:row>
      <xdr:rowOff>131763</xdr:rowOff>
    </xdr:to>
    <xdr:sp macro="" textlink="">
      <xdr:nvSpPr>
        <xdr:cNvPr id="62" name="TextBox 61">
          <a:extLst>
            <a:ext uri="{FF2B5EF4-FFF2-40B4-BE49-F238E27FC236}">
              <a16:creationId xmlns:a16="http://schemas.microsoft.com/office/drawing/2014/main" id="{7CF3B24D-9E7E-45AF-A50D-B5269571B882}"/>
            </a:ext>
          </a:extLst>
        </xdr:cNvPr>
        <xdr:cNvSpPr txBox="1"/>
      </xdr:nvSpPr>
      <xdr:spPr>
        <a:xfrm>
          <a:off x="737389" y="1576388"/>
          <a:ext cx="9937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onstantia" panose="02030602050306030303" pitchFamily="18" charset="0"/>
            </a:rPr>
            <a:t>Buildings</a:t>
          </a:r>
        </a:p>
      </xdr:txBody>
    </xdr:sp>
    <xdr:clientData/>
  </xdr:twoCellAnchor>
  <xdr:twoCellAnchor>
    <xdr:from>
      <xdr:col>3</xdr:col>
      <xdr:colOff>111009</xdr:colOff>
      <xdr:row>8</xdr:row>
      <xdr:rowOff>52388</xdr:rowOff>
    </xdr:from>
    <xdr:to>
      <xdr:col>5</xdr:col>
      <xdr:colOff>95251</xdr:colOff>
      <xdr:row>9</xdr:row>
      <xdr:rowOff>131763</xdr:rowOff>
    </xdr:to>
    <xdr:sp macro="" textlink="">
      <xdr:nvSpPr>
        <xdr:cNvPr id="63" name="TextBox 62">
          <a:extLst>
            <a:ext uri="{FF2B5EF4-FFF2-40B4-BE49-F238E27FC236}">
              <a16:creationId xmlns:a16="http://schemas.microsoft.com/office/drawing/2014/main" id="{E9F9FD60-B97F-4B02-9719-2903F12199B1}"/>
            </a:ext>
          </a:extLst>
        </xdr:cNvPr>
        <xdr:cNvSpPr txBox="1"/>
      </xdr:nvSpPr>
      <xdr:spPr>
        <a:xfrm>
          <a:off x="1939809" y="1576388"/>
          <a:ext cx="1203442"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onstantia" panose="02030602050306030303" pitchFamily="18" charset="0"/>
            </a:rPr>
            <a:t>Consumption</a:t>
          </a:r>
        </a:p>
      </xdr:txBody>
    </xdr:sp>
    <xdr:clientData/>
  </xdr:twoCellAnchor>
  <xdr:twoCellAnchor>
    <xdr:from>
      <xdr:col>6</xdr:col>
      <xdr:colOff>400052</xdr:colOff>
      <xdr:row>8</xdr:row>
      <xdr:rowOff>52388</xdr:rowOff>
    </xdr:from>
    <xdr:to>
      <xdr:col>7</xdr:col>
      <xdr:colOff>485776</xdr:colOff>
      <xdr:row>9</xdr:row>
      <xdr:rowOff>131763</xdr:rowOff>
    </xdr:to>
    <xdr:sp macro="" textlink="">
      <xdr:nvSpPr>
        <xdr:cNvPr id="64" name="TextBox 63">
          <a:extLst>
            <a:ext uri="{FF2B5EF4-FFF2-40B4-BE49-F238E27FC236}">
              <a16:creationId xmlns:a16="http://schemas.microsoft.com/office/drawing/2014/main" id="{E1F10CAB-E186-43A8-A020-4612EA2AA562}"/>
            </a:ext>
          </a:extLst>
        </xdr:cNvPr>
        <xdr:cNvSpPr txBox="1"/>
      </xdr:nvSpPr>
      <xdr:spPr>
        <a:xfrm>
          <a:off x="4057652" y="1576388"/>
          <a:ext cx="695324"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onstantia" panose="02030602050306030303" pitchFamily="18" charset="0"/>
            </a:rPr>
            <a:t>Bills</a:t>
          </a:r>
        </a:p>
      </xdr:txBody>
    </xdr:sp>
    <xdr:clientData/>
  </xdr:twoCellAnchor>
  <xdr:twoCellAnchor>
    <xdr:from>
      <xdr:col>1</xdr:col>
      <xdr:colOff>94451</xdr:colOff>
      <xdr:row>10</xdr:row>
      <xdr:rowOff>85726</xdr:rowOff>
    </xdr:from>
    <xdr:to>
      <xdr:col>2</xdr:col>
      <xdr:colOff>545301</xdr:colOff>
      <xdr:row>12</xdr:row>
      <xdr:rowOff>85726</xdr:rowOff>
    </xdr:to>
    <xdr:sp macro="" textlink="electricity_analysis!$A$5">
      <xdr:nvSpPr>
        <xdr:cNvPr id="65" name="TextBox 64">
          <a:extLst>
            <a:ext uri="{FF2B5EF4-FFF2-40B4-BE49-F238E27FC236}">
              <a16:creationId xmlns:a16="http://schemas.microsoft.com/office/drawing/2014/main" id="{1D10EBA8-DE7A-477D-BDA2-6F95F53889D8}"/>
            </a:ext>
          </a:extLst>
        </xdr:cNvPr>
        <xdr:cNvSpPr txBox="1"/>
      </xdr:nvSpPr>
      <xdr:spPr>
        <a:xfrm>
          <a:off x="704051" y="1990726"/>
          <a:ext cx="10604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56D7CA-790B-40BC-A6D9-2D0CD61D18A4}" type="TxLink">
            <a:rPr lang="en-US" sz="2000" b="1" i="0" u="none" strike="noStrike">
              <a:solidFill>
                <a:srgbClr val="000000"/>
              </a:solidFill>
              <a:latin typeface="Aptos Narrow"/>
            </a:rPr>
            <a:t>11</a:t>
          </a:fld>
          <a:endParaRPr lang="en-US" sz="6600" b="1">
            <a:latin typeface="Constantia" panose="02030602050306030303" pitchFamily="18" charset="0"/>
          </a:endParaRPr>
        </a:p>
      </xdr:txBody>
    </xdr:sp>
    <xdr:clientData/>
  </xdr:twoCellAnchor>
  <xdr:twoCellAnchor>
    <xdr:from>
      <xdr:col>3</xdr:col>
      <xdr:colOff>152400</xdr:colOff>
      <xdr:row>10</xdr:row>
      <xdr:rowOff>38100</xdr:rowOff>
    </xdr:from>
    <xdr:to>
      <xdr:col>5</xdr:col>
      <xdr:colOff>523875</xdr:colOff>
      <xdr:row>11</xdr:row>
      <xdr:rowOff>117475</xdr:rowOff>
    </xdr:to>
    <xdr:sp macro="" textlink="electricity_analysis!$C$5">
      <xdr:nvSpPr>
        <xdr:cNvPr id="66" name="TextBox 65">
          <a:extLst>
            <a:ext uri="{FF2B5EF4-FFF2-40B4-BE49-F238E27FC236}">
              <a16:creationId xmlns:a16="http://schemas.microsoft.com/office/drawing/2014/main" id="{F3357C7D-236A-42F2-A304-9E51D9E9367D}"/>
            </a:ext>
          </a:extLst>
        </xdr:cNvPr>
        <xdr:cNvSpPr txBox="1"/>
      </xdr:nvSpPr>
      <xdr:spPr>
        <a:xfrm>
          <a:off x="1981200" y="1943100"/>
          <a:ext cx="15906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5254629-9D68-4F4D-81CB-87F2A12DA76B}" type="TxLink">
            <a:rPr lang="en-US" sz="1200" b="1" i="0" u="none" strike="noStrike">
              <a:solidFill>
                <a:srgbClr val="000000"/>
              </a:solidFill>
              <a:latin typeface="Aptos Narrow"/>
            </a:rPr>
            <a:t>Total: 21.67  MWh</a:t>
          </a:fld>
          <a:endParaRPr lang="en-US" sz="2400" b="1">
            <a:latin typeface="Constantia" panose="02030602050306030303" pitchFamily="18" charset="0"/>
          </a:endParaRPr>
        </a:p>
      </xdr:txBody>
    </xdr:sp>
    <xdr:clientData/>
  </xdr:twoCellAnchor>
  <xdr:twoCellAnchor>
    <xdr:from>
      <xdr:col>6</xdr:col>
      <xdr:colOff>123826</xdr:colOff>
      <xdr:row>10</xdr:row>
      <xdr:rowOff>38100</xdr:rowOff>
    </xdr:from>
    <xdr:to>
      <xdr:col>8</xdr:col>
      <xdr:colOff>66675</xdr:colOff>
      <xdr:row>11</xdr:row>
      <xdr:rowOff>117475</xdr:rowOff>
    </xdr:to>
    <xdr:sp macro="" textlink="electricity_analysis!$F$5">
      <xdr:nvSpPr>
        <xdr:cNvPr id="67" name="TextBox 66">
          <a:extLst>
            <a:ext uri="{FF2B5EF4-FFF2-40B4-BE49-F238E27FC236}">
              <a16:creationId xmlns:a16="http://schemas.microsoft.com/office/drawing/2014/main" id="{1D067D0F-D09A-41CC-9029-9F9033805A6A}"/>
            </a:ext>
          </a:extLst>
        </xdr:cNvPr>
        <xdr:cNvSpPr txBox="1"/>
      </xdr:nvSpPr>
      <xdr:spPr>
        <a:xfrm>
          <a:off x="3781426" y="1943100"/>
          <a:ext cx="116204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0B5A026-AF84-4CE2-9CCD-B98C0BB4F625}" type="TxLink">
            <a:rPr lang="en-US" sz="1200" b="1" i="0" u="none" strike="noStrike">
              <a:solidFill>
                <a:srgbClr val="000000"/>
              </a:solidFill>
              <a:latin typeface="Aptos Narrow"/>
            </a:rPr>
            <a:t>Total: $2.03M</a:t>
          </a:fld>
          <a:endParaRPr lang="en-US" sz="2400" b="1">
            <a:latin typeface="Constantia" panose="02030602050306030303" pitchFamily="18" charset="0"/>
          </a:endParaRPr>
        </a:p>
      </xdr:txBody>
    </xdr:sp>
    <xdr:clientData/>
  </xdr:twoCellAnchor>
  <xdr:twoCellAnchor>
    <xdr:from>
      <xdr:col>6</xdr:col>
      <xdr:colOff>123826</xdr:colOff>
      <xdr:row>11</xdr:row>
      <xdr:rowOff>85725</xdr:rowOff>
    </xdr:from>
    <xdr:to>
      <xdr:col>8</xdr:col>
      <xdr:colOff>457200</xdr:colOff>
      <xdr:row>12</xdr:row>
      <xdr:rowOff>165100</xdr:rowOff>
    </xdr:to>
    <xdr:sp macro="" textlink="electricity_analysis!$L$5">
      <xdr:nvSpPr>
        <xdr:cNvPr id="68" name="TextBox 67">
          <a:extLst>
            <a:ext uri="{FF2B5EF4-FFF2-40B4-BE49-F238E27FC236}">
              <a16:creationId xmlns:a16="http://schemas.microsoft.com/office/drawing/2014/main" id="{D63D470E-A454-4C40-AE4B-D638FC1FFF13}"/>
            </a:ext>
          </a:extLst>
        </xdr:cNvPr>
        <xdr:cNvSpPr txBox="1"/>
      </xdr:nvSpPr>
      <xdr:spPr>
        <a:xfrm>
          <a:off x="3781426" y="2181225"/>
          <a:ext cx="1552574"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E223462-EF45-4A99-8C86-A1193871B00E}" type="TxLink">
            <a:rPr lang="en-US" sz="1100" b="1" i="0" u="none" strike="noStrike">
              <a:solidFill>
                <a:schemeClr val="tx1">
                  <a:lumMod val="65000"/>
                  <a:lumOff val="35000"/>
                </a:schemeClr>
              </a:solidFill>
              <a:latin typeface="Aptos Narrow"/>
            </a:rPr>
            <a:t>Avg: $3.84K</a:t>
          </a:fld>
          <a:endParaRPr lang="en-US" sz="1400" b="1">
            <a:solidFill>
              <a:schemeClr val="tx1">
                <a:lumMod val="65000"/>
                <a:lumOff val="35000"/>
              </a:schemeClr>
            </a:solidFill>
            <a:latin typeface="Constantia" panose="02030602050306030303" pitchFamily="18" charset="0"/>
          </a:endParaRPr>
        </a:p>
      </xdr:txBody>
    </xdr:sp>
    <xdr:clientData/>
  </xdr:twoCellAnchor>
  <xdr:twoCellAnchor>
    <xdr:from>
      <xdr:col>3</xdr:col>
      <xdr:colOff>152400</xdr:colOff>
      <xdr:row>11</xdr:row>
      <xdr:rowOff>114299</xdr:rowOff>
    </xdr:from>
    <xdr:to>
      <xdr:col>5</xdr:col>
      <xdr:colOff>552450</xdr:colOff>
      <xdr:row>12</xdr:row>
      <xdr:rowOff>165100</xdr:rowOff>
    </xdr:to>
    <xdr:sp macro="" textlink="electricity_analysis!$I$5">
      <xdr:nvSpPr>
        <xdr:cNvPr id="69" name="TextBox 68">
          <a:extLst>
            <a:ext uri="{FF2B5EF4-FFF2-40B4-BE49-F238E27FC236}">
              <a16:creationId xmlns:a16="http://schemas.microsoft.com/office/drawing/2014/main" id="{1352D40B-7FFB-4D3A-98FC-90C5E1F1727A}"/>
            </a:ext>
          </a:extLst>
        </xdr:cNvPr>
        <xdr:cNvSpPr txBox="1"/>
      </xdr:nvSpPr>
      <xdr:spPr>
        <a:xfrm>
          <a:off x="1981200" y="2209799"/>
          <a:ext cx="1619250" cy="24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4F3FEFA-D6BD-45CC-8FA2-2977D09F94F2}" type="TxLink">
            <a:rPr lang="en-US" sz="1100" b="1" i="0" u="none" strike="noStrike">
              <a:solidFill>
                <a:schemeClr val="tx1">
                  <a:lumMod val="65000"/>
                  <a:lumOff val="35000"/>
                </a:schemeClr>
              </a:solidFill>
              <a:latin typeface="Aptos Narrow"/>
            </a:rPr>
            <a:t>Avg: 41.04  kWh</a:t>
          </a:fld>
          <a:endParaRPr lang="en-US" sz="1400" b="1">
            <a:solidFill>
              <a:schemeClr val="tx1">
                <a:lumMod val="65000"/>
                <a:lumOff val="35000"/>
              </a:schemeClr>
            </a:solidFill>
            <a:latin typeface="Constantia" panose="02030602050306030303" pitchFamily="18" charset="0"/>
          </a:endParaRPr>
        </a:p>
      </xdr:txBody>
    </xdr:sp>
    <xdr:clientData/>
  </xdr:twoCellAnchor>
  <xdr:twoCellAnchor editAs="oneCell">
    <xdr:from>
      <xdr:col>4</xdr:col>
      <xdr:colOff>590550</xdr:colOff>
      <xdr:row>8</xdr:row>
      <xdr:rowOff>19050</xdr:rowOff>
    </xdr:from>
    <xdr:to>
      <xdr:col>5</xdr:col>
      <xdr:colOff>529590</xdr:colOff>
      <xdr:row>10</xdr:row>
      <xdr:rowOff>186690</xdr:rowOff>
    </xdr:to>
    <xdr:pic>
      <xdr:nvPicPr>
        <xdr:cNvPr id="70" name="Graphic 69" descr="Gauge with solid fill">
          <a:extLst>
            <a:ext uri="{FF2B5EF4-FFF2-40B4-BE49-F238E27FC236}">
              <a16:creationId xmlns:a16="http://schemas.microsoft.com/office/drawing/2014/main" id="{C0B72C42-0552-4301-9359-D0BDE7A578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28950" y="1543050"/>
          <a:ext cx="548640" cy="548640"/>
        </a:xfrm>
        <a:prstGeom prst="rect">
          <a:avLst/>
        </a:prstGeom>
      </xdr:spPr>
    </xdr:pic>
    <xdr:clientData/>
  </xdr:twoCellAnchor>
  <xdr:twoCellAnchor>
    <xdr:from>
      <xdr:col>17</xdr:col>
      <xdr:colOff>552450</xdr:colOff>
      <xdr:row>3</xdr:row>
      <xdr:rowOff>189308</xdr:rowOff>
    </xdr:from>
    <xdr:to>
      <xdr:col>19</xdr:col>
      <xdr:colOff>352425</xdr:colOff>
      <xdr:row>6</xdr:row>
      <xdr:rowOff>75008</xdr:rowOff>
    </xdr:to>
    <xdr:grpSp>
      <xdr:nvGrpSpPr>
        <xdr:cNvPr id="82" name="Group 81">
          <a:hlinkClick xmlns:r="http://schemas.openxmlformats.org/officeDocument/2006/relationships" r:id="rId7"/>
          <a:extLst>
            <a:ext uri="{FF2B5EF4-FFF2-40B4-BE49-F238E27FC236}">
              <a16:creationId xmlns:a16="http://schemas.microsoft.com/office/drawing/2014/main" id="{90B885C6-8058-48EA-A546-A4EED3EF3C83}"/>
            </a:ext>
          </a:extLst>
        </xdr:cNvPr>
        <xdr:cNvGrpSpPr/>
      </xdr:nvGrpSpPr>
      <xdr:grpSpPr>
        <a:xfrm>
          <a:off x="10915650" y="760808"/>
          <a:ext cx="1019175" cy="457200"/>
          <a:chOff x="10915650" y="754855"/>
          <a:chExt cx="1019175" cy="457200"/>
        </a:xfrm>
      </xdr:grpSpPr>
      <xdr:sp macro="" textlink="">
        <xdr:nvSpPr>
          <xdr:cNvPr id="83" name="Flowchart: Terminator 82">
            <a:extLst>
              <a:ext uri="{FF2B5EF4-FFF2-40B4-BE49-F238E27FC236}">
                <a16:creationId xmlns:a16="http://schemas.microsoft.com/office/drawing/2014/main" id="{B4328774-6FA7-E2D3-3A26-D1B3CBDCFCF0}"/>
              </a:ext>
            </a:extLst>
          </xdr:cNvPr>
          <xdr:cNvSpPr/>
        </xdr:nvSpPr>
        <xdr:spPr>
          <a:xfrm>
            <a:off x="10915650" y="754855"/>
            <a:ext cx="1019175" cy="457200"/>
          </a:xfrm>
          <a:prstGeom prst="flowChartTerminator">
            <a:avLst/>
          </a:prstGeom>
          <a:solidFill>
            <a:srgbClr val="001C54"/>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4" name="Graphic 83" descr="Leaky Tap with solid fill">
            <a:extLst>
              <a:ext uri="{FF2B5EF4-FFF2-40B4-BE49-F238E27FC236}">
                <a16:creationId xmlns:a16="http://schemas.microsoft.com/office/drawing/2014/main" id="{9679E3B6-F9BF-40AC-1899-BAE8438F6F6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257902" y="818863"/>
            <a:ext cx="334671" cy="329184"/>
          </a:xfrm>
          <a:prstGeom prst="rect">
            <a:avLst/>
          </a:prstGeom>
        </xdr:spPr>
      </xdr:pic>
    </xdr:grpSp>
    <xdr:clientData/>
  </xdr:twoCellAnchor>
  <xdr:twoCellAnchor>
    <xdr:from>
      <xdr:col>7</xdr:col>
      <xdr:colOff>514348</xdr:colOff>
      <xdr:row>0</xdr:row>
      <xdr:rowOff>161924</xdr:rowOff>
    </xdr:from>
    <xdr:to>
      <xdr:col>9</xdr:col>
      <xdr:colOff>392428</xdr:colOff>
      <xdr:row>6</xdr:row>
      <xdr:rowOff>116204</xdr:rowOff>
    </xdr:to>
    <xdr:grpSp>
      <xdr:nvGrpSpPr>
        <xdr:cNvPr id="96" name="Group 95">
          <a:extLst>
            <a:ext uri="{FF2B5EF4-FFF2-40B4-BE49-F238E27FC236}">
              <a16:creationId xmlns:a16="http://schemas.microsoft.com/office/drawing/2014/main" id="{20E4CE40-9283-1814-ADED-A67AFC46B322}"/>
            </a:ext>
          </a:extLst>
        </xdr:cNvPr>
        <xdr:cNvGrpSpPr/>
      </xdr:nvGrpSpPr>
      <xdr:grpSpPr>
        <a:xfrm>
          <a:off x="4781548" y="161924"/>
          <a:ext cx="1097280" cy="1097280"/>
          <a:chOff x="4781548" y="161924"/>
          <a:chExt cx="1097280" cy="1097280"/>
        </a:xfrm>
      </xdr:grpSpPr>
      <xdr:sp macro="" textlink="">
        <xdr:nvSpPr>
          <xdr:cNvPr id="75" name="Rectangle: Rounded Corners 74">
            <a:extLst>
              <a:ext uri="{FF2B5EF4-FFF2-40B4-BE49-F238E27FC236}">
                <a16:creationId xmlns:a16="http://schemas.microsoft.com/office/drawing/2014/main" id="{1E80BE56-BBC5-80BA-C896-806A6A348BAC}"/>
              </a:ext>
            </a:extLst>
          </xdr:cNvPr>
          <xdr:cNvSpPr/>
        </xdr:nvSpPr>
        <xdr:spPr>
          <a:xfrm>
            <a:off x="4781548" y="161924"/>
            <a:ext cx="1097280" cy="109728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5" name="Graphic 94" descr="Electric Tower with solid fill">
            <a:extLst>
              <a:ext uri="{FF2B5EF4-FFF2-40B4-BE49-F238E27FC236}">
                <a16:creationId xmlns:a16="http://schemas.microsoft.com/office/drawing/2014/main" id="{3BF57B43-35C6-4006-932C-6553B89090F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99836" y="180212"/>
            <a:ext cx="1060704" cy="1060704"/>
          </a:xfrm>
          <a:prstGeom prst="rect">
            <a:avLst/>
          </a:prstGeom>
        </xdr:spPr>
      </xdr:pic>
    </xdr:grpSp>
    <xdr:clientData/>
  </xdr:twoCellAnchor>
  <xdr:twoCellAnchor>
    <xdr:from>
      <xdr:col>15</xdr:col>
      <xdr:colOff>600075</xdr:colOff>
      <xdr:row>3</xdr:row>
      <xdr:rowOff>189308</xdr:rowOff>
    </xdr:from>
    <xdr:to>
      <xdr:col>17</xdr:col>
      <xdr:colOff>400050</xdr:colOff>
      <xdr:row>6</xdr:row>
      <xdr:rowOff>75008</xdr:rowOff>
    </xdr:to>
    <xdr:grpSp>
      <xdr:nvGrpSpPr>
        <xdr:cNvPr id="99" name="Group 98">
          <a:hlinkClick xmlns:r="http://schemas.openxmlformats.org/officeDocument/2006/relationships" r:id="rId12"/>
          <a:extLst>
            <a:ext uri="{FF2B5EF4-FFF2-40B4-BE49-F238E27FC236}">
              <a16:creationId xmlns:a16="http://schemas.microsoft.com/office/drawing/2014/main" id="{DF188CA4-6D86-6DA6-E0F8-29E236AEDE0B}"/>
            </a:ext>
          </a:extLst>
        </xdr:cNvPr>
        <xdr:cNvGrpSpPr/>
      </xdr:nvGrpSpPr>
      <xdr:grpSpPr>
        <a:xfrm>
          <a:off x="9744075" y="760808"/>
          <a:ext cx="1019175" cy="457200"/>
          <a:chOff x="9744075" y="760808"/>
          <a:chExt cx="1019175" cy="457200"/>
        </a:xfrm>
      </xdr:grpSpPr>
      <xdr:sp macro="" textlink="">
        <xdr:nvSpPr>
          <xdr:cNvPr id="71" name="Flowchart: Terminator 70">
            <a:extLst>
              <a:ext uri="{FF2B5EF4-FFF2-40B4-BE49-F238E27FC236}">
                <a16:creationId xmlns:a16="http://schemas.microsoft.com/office/drawing/2014/main" id="{E661E50E-90F2-4F9D-9F0A-D1BF5A16036D}"/>
              </a:ext>
            </a:extLst>
          </xdr:cNvPr>
          <xdr:cNvSpPr/>
        </xdr:nvSpPr>
        <xdr:spPr>
          <a:xfrm>
            <a:off x="9744075" y="760808"/>
            <a:ext cx="1019175" cy="457200"/>
          </a:xfrm>
          <a:prstGeom prst="flowChartTerminator">
            <a:avLst/>
          </a:prstGeom>
          <a:solidFill>
            <a:schemeClr val="tx1">
              <a:lumMod val="75000"/>
              <a:lumOff val="25000"/>
            </a:schemeClr>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8" name="Graphic 97" descr="High voltage with solid fill">
            <a:extLst>
              <a:ext uri="{FF2B5EF4-FFF2-40B4-BE49-F238E27FC236}">
                <a16:creationId xmlns:a16="http://schemas.microsoft.com/office/drawing/2014/main" id="{ACEFF031-4CF8-41BD-B3B3-8DD5116BC6F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025062" y="760808"/>
            <a:ext cx="457200" cy="457200"/>
          </a:xfrm>
          <a:prstGeom prst="rect">
            <a:avLst/>
          </a:prstGeom>
        </xdr:spPr>
      </xdr:pic>
    </xdr:grpSp>
    <xdr:clientData/>
  </xdr:twoCellAnchor>
  <xdr:twoCellAnchor>
    <xdr:from>
      <xdr:col>19</xdr:col>
      <xdr:colOff>504825</xdr:colOff>
      <xdr:row>3</xdr:row>
      <xdr:rowOff>189308</xdr:rowOff>
    </xdr:from>
    <xdr:to>
      <xdr:col>21</xdr:col>
      <xdr:colOff>304800</xdr:colOff>
      <xdr:row>6</xdr:row>
      <xdr:rowOff>75008</xdr:rowOff>
    </xdr:to>
    <xdr:grpSp>
      <xdr:nvGrpSpPr>
        <xdr:cNvPr id="103" name="Group 102">
          <a:hlinkClick xmlns:r="http://schemas.openxmlformats.org/officeDocument/2006/relationships" r:id="rId15"/>
          <a:extLst>
            <a:ext uri="{FF2B5EF4-FFF2-40B4-BE49-F238E27FC236}">
              <a16:creationId xmlns:a16="http://schemas.microsoft.com/office/drawing/2014/main" id="{676B067A-F574-C261-4679-CE4EC20D69D8}"/>
            </a:ext>
          </a:extLst>
        </xdr:cNvPr>
        <xdr:cNvGrpSpPr/>
      </xdr:nvGrpSpPr>
      <xdr:grpSpPr>
        <a:xfrm>
          <a:off x="12087225" y="760808"/>
          <a:ext cx="1019175" cy="457200"/>
          <a:chOff x="12087225" y="760808"/>
          <a:chExt cx="1019175" cy="457200"/>
        </a:xfrm>
      </xdr:grpSpPr>
      <xdr:sp macro="" textlink="">
        <xdr:nvSpPr>
          <xdr:cNvPr id="80" name="Flowchart: Terminator 79">
            <a:extLst>
              <a:ext uri="{FF2B5EF4-FFF2-40B4-BE49-F238E27FC236}">
                <a16:creationId xmlns:a16="http://schemas.microsoft.com/office/drawing/2014/main" id="{B78D7909-A6BF-78D0-3494-676C011828A8}"/>
              </a:ext>
            </a:extLst>
          </xdr:cNvPr>
          <xdr:cNvSpPr/>
        </xdr:nvSpPr>
        <xdr:spPr>
          <a:xfrm>
            <a:off x="12087225" y="760808"/>
            <a:ext cx="1019175" cy="457200"/>
          </a:xfrm>
          <a:prstGeom prst="flowChartTerminator">
            <a:avLst/>
          </a:prstGeom>
          <a:solidFill>
            <a:srgbClr val="00B050"/>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2" name="Group 101">
            <a:extLst>
              <a:ext uri="{FF2B5EF4-FFF2-40B4-BE49-F238E27FC236}">
                <a16:creationId xmlns:a16="http://schemas.microsoft.com/office/drawing/2014/main" id="{8156A065-F3ED-7643-7867-3452B76B650F}"/>
              </a:ext>
            </a:extLst>
          </xdr:cNvPr>
          <xdr:cNvGrpSpPr/>
        </xdr:nvGrpSpPr>
        <xdr:grpSpPr>
          <a:xfrm>
            <a:off x="12368212" y="806528"/>
            <a:ext cx="457200" cy="365760"/>
            <a:chOff x="12087225" y="760808"/>
            <a:chExt cx="457200" cy="365760"/>
          </a:xfrm>
        </xdr:grpSpPr>
        <xdr:pic>
          <xdr:nvPicPr>
            <xdr:cNvPr id="100" name="Graphic 99" descr="Water with solid fill">
              <a:extLst>
                <a:ext uri="{FF2B5EF4-FFF2-40B4-BE49-F238E27FC236}">
                  <a16:creationId xmlns:a16="http://schemas.microsoft.com/office/drawing/2014/main" id="{84967032-A62E-4ABB-8199-D665E3284A8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087225" y="760808"/>
              <a:ext cx="457200" cy="365760"/>
            </a:xfrm>
            <a:prstGeom prst="rect">
              <a:avLst/>
            </a:prstGeom>
          </xdr:spPr>
        </xdr:pic>
        <xdr:pic>
          <xdr:nvPicPr>
            <xdr:cNvPr id="101" name="Graphic 100" descr="Fire with solid fill">
              <a:extLst>
                <a:ext uri="{FF2B5EF4-FFF2-40B4-BE49-F238E27FC236}">
                  <a16:creationId xmlns:a16="http://schemas.microsoft.com/office/drawing/2014/main" id="{543BF999-519A-413A-A7BC-BBD81D3E247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156580" y="828708"/>
              <a:ext cx="324871" cy="259898"/>
            </a:xfrm>
            <a:prstGeom prst="rect">
              <a:avLst/>
            </a:prstGeom>
          </xdr:spPr>
        </xdr:pic>
      </xdr:grpSp>
    </xdr:grpSp>
    <xdr:clientData/>
  </xdr:twoCellAnchor>
  <xdr:twoCellAnchor editAs="oneCell">
    <xdr:from>
      <xdr:col>21</xdr:col>
      <xdr:colOff>380997</xdr:colOff>
      <xdr:row>2</xdr:row>
      <xdr:rowOff>28574</xdr:rowOff>
    </xdr:from>
    <xdr:to>
      <xdr:col>29</xdr:col>
      <xdr:colOff>48765</xdr:colOff>
      <xdr:row>7</xdr:row>
      <xdr:rowOff>45338</xdr:rowOff>
    </xdr:to>
    <mc:AlternateContent xmlns:mc="http://schemas.openxmlformats.org/markup-compatibility/2006">
      <mc:Choice xmlns:a14="http://schemas.microsoft.com/office/drawing/2010/main" Requires="a14">
        <xdr:graphicFrame macro="">
          <xdr:nvGraphicFramePr>
            <xdr:cNvPr id="104" name="Date (Month) 4">
              <a:extLst>
                <a:ext uri="{FF2B5EF4-FFF2-40B4-BE49-F238E27FC236}">
                  <a16:creationId xmlns:a16="http://schemas.microsoft.com/office/drawing/2014/main" id="{187DF7C7-E5E5-4169-809F-78E3316D88D6}"/>
                </a:ext>
              </a:extLst>
            </xdr:cNvPr>
            <xdr:cNvGraphicFramePr/>
          </xdr:nvGraphicFramePr>
          <xdr:xfrm>
            <a:off x="0" y="0"/>
            <a:ext cx="0" cy="0"/>
          </xdr:xfrm>
          <a:graphic>
            <a:graphicData uri="http://schemas.microsoft.com/office/drawing/2010/slicer">
              <sle:slicer xmlns:sle="http://schemas.microsoft.com/office/drawing/2010/slicer" name="Date (Month) 4"/>
            </a:graphicData>
          </a:graphic>
        </xdr:graphicFrame>
      </mc:Choice>
      <mc:Fallback>
        <xdr:sp macro="" textlink="">
          <xdr:nvSpPr>
            <xdr:cNvPr id="0" name=""/>
            <xdr:cNvSpPr>
              <a:spLocks noTextEdit="1"/>
            </xdr:cNvSpPr>
          </xdr:nvSpPr>
          <xdr:spPr>
            <a:xfrm>
              <a:off x="13182597" y="409574"/>
              <a:ext cx="4544568" cy="96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123823</xdr:colOff>
      <xdr:row>1</xdr:row>
      <xdr:rowOff>180974</xdr:rowOff>
    </xdr:from>
    <xdr:to>
      <xdr:col>7</xdr:col>
      <xdr:colOff>410335</xdr:colOff>
      <xdr:row>7</xdr:row>
      <xdr:rowOff>52958</xdr:rowOff>
    </xdr:to>
    <mc:AlternateContent xmlns:mc="http://schemas.openxmlformats.org/markup-compatibility/2006">
      <mc:Choice xmlns:a14="http://schemas.microsoft.com/office/drawing/2010/main" Requires="a14">
        <xdr:graphicFrame macro="">
          <xdr:nvGraphicFramePr>
            <xdr:cNvPr id="105" name="Date (Year) 5">
              <a:extLst>
                <a:ext uri="{FF2B5EF4-FFF2-40B4-BE49-F238E27FC236}">
                  <a16:creationId xmlns:a16="http://schemas.microsoft.com/office/drawing/2014/main" id="{45448F03-9BBE-487B-8CC1-21F7EADA3EA7}"/>
                </a:ext>
              </a:extLst>
            </xdr:cNvPr>
            <xdr:cNvGraphicFramePr/>
          </xdr:nvGraphicFramePr>
          <xdr:xfrm>
            <a:off x="0" y="0"/>
            <a:ext cx="0" cy="0"/>
          </xdr:xfrm>
          <a:graphic>
            <a:graphicData uri="http://schemas.microsoft.com/office/drawing/2010/slicer">
              <sle:slicer xmlns:sle="http://schemas.microsoft.com/office/drawing/2010/slicer" name="Date (Year) 5"/>
            </a:graphicData>
          </a:graphic>
        </xdr:graphicFrame>
      </mc:Choice>
      <mc:Fallback>
        <xdr:sp macro="" textlink="">
          <xdr:nvSpPr>
            <xdr:cNvPr id="0" name=""/>
            <xdr:cNvSpPr>
              <a:spLocks noTextEdit="1"/>
            </xdr:cNvSpPr>
          </xdr:nvSpPr>
          <xdr:spPr>
            <a:xfrm>
              <a:off x="123823" y="371474"/>
              <a:ext cx="4553712" cy="101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27</xdr:row>
      <xdr:rowOff>47625</xdr:rowOff>
    </xdr:from>
    <xdr:to>
      <xdr:col>5</xdr:col>
      <xdr:colOff>12954</xdr:colOff>
      <xdr:row>41</xdr:row>
      <xdr:rowOff>123825</xdr:rowOff>
    </xdr:to>
    <xdr:graphicFrame macro="">
      <xdr:nvGraphicFramePr>
        <xdr:cNvPr id="106" name="Chart 105">
          <a:extLst>
            <a:ext uri="{FF2B5EF4-FFF2-40B4-BE49-F238E27FC236}">
              <a16:creationId xmlns:a16="http://schemas.microsoft.com/office/drawing/2014/main" id="{200C6721-5790-4660-9AC8-ED34F2195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171450</xdr:colOff>
      <xdr:row>14</xdr:row>
      <xdr:rowOff>9525</xdr:rowOff>
    </xdr:from>
    <xdr:to>
      <xdr:col>4</xdr:col>
      <xdr:colOff>604266</xdr:colOff>
      <xdr:row>27</xdr:row>
      <xdr:rowOff>184785</xdr:rowOff>
    </xdr:to>
    <xdr:graphicFrame macro="">
      <xdr:nvGraphicFramePr>
        <xdr:cNvPr id="107" name="Chart 106">
          <a:extLst>
            <a:ext uri="{FF2B5EF4-FFF2-40B4-BE49-F238E27FC236}">
              <a16:creationId xmlns:a16="http://schemas.microsoft.com/office/drawing/2014/main" id="{CE5DCCA3-B3D7-4C8D-B8EA-F02491FF5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542407</xdr:colOff>
      <xdr:row>17</xdr:row>
      <xdr:rowOff>62593</xdr:rowOff>
    </xdr:from>
    <xdr:to>
      <xdr:col>19</xdr:col>
      <xdr:colOff>466207</xdr:colOff>
      <xdr:row>28</xdr:row>
      <xdr:rowOff>70213</xdr:rowOff>
    </xdr:to>
    <xdr:graphicFrame macro="">
      <xdr:nvGraphicFramePr>
        <xdr:cNvPr id="110" name="Chart 109">
          <a:extLst>
            <a:ext uri="{FF2B5EF4-FFF2-40B4-BE49-F238E27FC236}">
              <a16:creationId xmlns:a16="http://schemas.microsoft.com/office/drawing/2014/main" id="{3BCE74DA-D5CD-4A32-9EAE-CC45C3B6B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19</xdr:col>
      <xdr:colOff>542470</xdr:colOff>
      <xdr:row>17</xdr:row>
      <xdr:rowOff>62593</xdr:rowOff>
    </xdr:from>
    <xdr:to>
      <xdr:col>29</xdr:col>
      <xdr:colOff>6022</xdr:colOff>
      <xdr:row>28</xdr:row>
      <xdr:rowOff>61069</xdr:rowOff>
    </xdr:to>
    <xdr:graphicFrame macro="">
      <xdr:nvGraphicFramePr>
        <xdr:cNvPr id="111" name="Chart 110">
          <a:extLst>
            <a:ext uri="{FF2B5EF4-FFF2-40B4-BE49-F238E27FC236}">
              <a16:creationId xmlns:a16="http://schemas.microsoft.com/office/drawing/2014/main" id="{4D3ECA37-1886-477D-B3A4-6A5619E03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551932</xdr:colOff>
      <xdr:row>28</xdr:row>
      <xdr:rowOff>153216</xdr:rowOff>
    </xdr:from>
    <xdr:to>
      <xdr:col>19</xdr:col>
      <xdr:colOff>475732</xdr:colOff>
      <xdr:row>40</xdr:row>
      <xdr:rowOff>144072</xdr:rowOff>
    </xdr:to>
    <xdr:graphicFrame macro="">
      <xdr:nvGraphicFramePr>
        <xdr:cNvPr id="114" name="Chart 113">
          <a:extLst>
            <a:ext uri="{FF2B5EF4-FFF2-40B4-BE49-F238E27FC236}">
              <a16:creationId xmlns:a16="http://schemas.microsoft.com/office/drawing/2014/main" id="{0EEA3DFF-3D7E-4E78-B38A-845FF552A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542470</xdr:colOff>
      <xdr:row>28</xdr:row>
      <xdr:rowOff>153216</xdr:rowOff>
    </xdr:from>
    <xdr:to>
      <xdr:col>28</xdr:col>
      <xdr:colOff>606478</xdr:colOff>
      <xdr:row>40</xdr:row>
      <xdr:rowOff>134928</xdr:rowOff>
    </xdr:to>
    <xdr:graphicFrame macro="">
      <xdr:nvGraphicFramePr>
        <xdr:cNvPr id="115" name="Chart 114">
          <a:extLst>
            <a:ext uri="{FF2B5EF4-FFF2-40B4-BE49-F238E27FC236}">
              <a16:creationId xmlns:a16="http://schemas.microsoft.com/office/drawing/2014/main" id="{9183D016-4D62-42A0-9314-9933B51B0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xdr:col>
      <xdr:colOff>542407</xdr:colOff>
      <xdr:row>7</xdr:row>
      <xdr:rowOff>142875</xdr:rowOff>
    </xdr:from>
    <xdr:to>
      <xdr:col>19</xdr:col>
      <xdr:colOff>457063</xdr:colOff>
      <xdr:row>16</xdr:row>
      <xdr:rowOff>174879</xdr:rowOff>
    </xdr:to>
    <xdr:graphicFrame macro="">
      <xdr:nvGraphicFramePr>
        <xdr:cNvPr id="118" name="Chart 117">
          <a:extLst>
            <a:ext uri="{FF2B5EF4-FFF2-40B4-BE49-F238E27FC236}">
              <a16:creationId xmlns:a16="http://schemas.microsoft.com/office/drawing/2014/main" id="{69129DC2-A39F-4432-BE0F-EB533CDDD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542470</xdr:colOff>
      <xdr:row>7</xdr:row>
      <xdr:rowOff>142875</xdr:rowOff>
    </xdr:from>
    <xdr:to>
      <xdr:col>29</xdr:col>
      <xdr:colOff>6022</xdr:colOff>
      <xdr:row>16</xdr:row>
      <xdr:rowOff>174879</xdr:rowOff>
    </xdr:to>
    <xdr:graphicFrame macro="">
      <xdr:nvGraphicFramePr>
        <xdr:cNvPr id="119" name="Chart 118">
          <a:extLst>
            <a:ext uri="{FF2B5EF4-FFF2-40B4-BE49-F238E27FC236}">
              <a16:creationId xmlns:a16="http://schemas.microsoft.com/office/drawing/2014/main" id="{ED71D217-FB1D-46D4-BD46-B3AAE4E6B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xdr:col>
      <xdr:colOff>292100</xdr:colOff>
      <xdr:row>19</xdr:row>
      <xdr:rowOff>136525</xdr:rowOff>
    </xdr:from>
    <xdr:to>
      <xdr:col>3</xdr:col>
      <xdr:colOff>168275</xdr:colOff>
      <xdr:row>22</xdr:row>
      <xdr:rowOff>22225</xdr:rowOff>
    </xdr:to>
    <xdr:sp macro="" textlink="">
      <xdr:nvSpPr>
        <xdr:cNvPr id="57" name="TextBox 56">
          <a:extLst>
            <a:ext uri="{FF2B5EF4-FFF2-40B4-BE49-F238E27FC236}">
              <a16:creationId xmlns:a16="http://schemas.microsoft.com/office/drawing/2014/main" id="{C1752E5C-CBF7-4668-8E7D-C19FF8EE4D03}"/>
            </a:ext>
          </a:extLst>
        </xdr:cNvPr>
        <xdr:cNvSpPr txBox="1"/>
      </xdr:nvSpPr>
      <xdr:spPr>
        <a:xfrm>
          <a:off x="901700" y="37560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solidFill>
              <a:latin typeface="Constantia" panose="02030602050306030303" pitchFamily="18" charset="0"/>
            </a:rPr>
            <a:t>Financial Percentage</a:t>
          </a:r>
        </a:p>
      </xdr:txBody>
    </xdr:sp>
    <xdr:clientData/>
  </xdr:twoCellAnchor>
  <xdr:twoCellAnchor>
    <xdr:from>
      <xdr:col>1</xdr:col>
      <xdr:colOff>314325</xdr:colOff>
      <xdr:row>33</xdr:row>
      <xdr:rowOff>28575</xdr:rowOff>
    </xdr:from>
    <xdr:to>
      <xdr:col>3</xdr:col>
      <xdr:colOff>190498</xdr:colOff>
      <xdr:row>35</xdr:row>
      <xdr:rowOff>104757</xdr:rowOff>
    </xdr:to>
    <xdr:sp macro="" textlink="">
      <xdr:nvSpPr>
        <xdr:cNvPr id="73" name="TextBox 74">
          <a:extLst>
            <a:ext uri="{FF2B5EF4-FFF2-40B4-BE49-F238E27FC236}">
              <a16:creationId xmlns:a16="http://schemas.microsoft.com/office/drawing/2014/main" id="{3F37C708-B650-4A85-BCDC-855E9AA89850}"/>
            </a:ext>
          </a:extLst>
        </xdr:cNvPr>
        <xdr:cNvSpPr txBox="1"/>
      </xdr:nvSpPr>
      <xdr:spPr>
        <a:xfrm>
          <a:off x="923925" y="6315075"/>
          <a:ext cx="1095373" cy="457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050" b="1">
              <a:solidFill>
                <a:schemeClr val="tx1"/>
              </a:solidFill>
              <a:latin typeface="Constantia" panose="02030602050306030303" pitchFamily="18" charset="0"/>
            </a:rPr>
            <a:t>Power Intake</a:t>
          </a:r>
        </a:p>
        <a:p>
          <a:pPr algn="ctr"/>
          <a:r>
            <a:rPr lang="en-US" sz="1050" b="1">
              <a:solidFill>
                <a:schemeClr val="tx1"/>
              </a:solidFill>
              <a:latin typeface="Constantia" panose="02030602050306030303" pitchFamily="18" charset="0"/>
            </a:rPr>
            <a:t>Percentage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123823</xdr:colOff>
      <xdr:row>0</xdr:row>
      <xdr:rowOff>57149</xdr:rowOff>
    </xdr:from>
    <xdr:to>
      <xdr:col>29</xdr:col>
      <xdr:colOff>66675</xdr:colOff>
      <xdr:row>41</xdr:row>
      <xdr:rowOff>19050</xdr:rowOff>
    </xdr:to>
    <xdr:grpSp>
      <xdr:nvGrpSpPr>
        <xdr:cNvPr id="90" name="Group 89">
          <a:extLst>
            <a:ext uri="{FF2B5EF4-FFF2-40B4-BE49-F238E27FC236}">
              <a16:creationId xmlns:a16="http://schemas.microsoft.com/office/drawing/2014/main" id="{94B0E6BB-9ECE-D410-32A7-2F877CEF3B41}"/>
            </a:ext>
          </a:extLst>
        </xdr:cNvPr>
        <xdr:cNvGrpSpPr/>
      </xdr:nvGrpSpPr>
      <xdr:grpSpPr>
        <a:xfrm>
          <a:off x="123823" y="57149"/>
          <a:ext cx="17621252" cy="7772401"/>
          <a:chOff x="123823" y="57149"/>
          <a:chExt cx="17621252" cy="7772401"/>
        </a:xfrm>
      </xdr:grpSpPr>
      <xdr:sp macro="" textlink="">
        <xdr:nvSpPr>
          <xdr:cNvPr id="3" name="Rectangle: Rounded Corners 2">
            <a:extLst>
              <a:ext uri="{FF2B5EF4-FFF2-40B4-BE49-F238E27FC236}">
                <a16:creationId xmlns:a16="http://schemas.microsoft.com/office/drawing/2014/main" id="{A8796018-98CB-F9C0-AEC6-A2265DFF96D7}"/>
              </a:ext>
            </a:extLst>
          </xdr:cNvPr>
          <xdr:cNvSpPr/>
        </xdr:nvSpPr>
        <xdr:spPr>
          <a:xfrm>
            <a:off x="123825" y="57149"/>
            <a:ext cx="17621250" cy="7772401"/>
          </a:xfrm>
          <a:prstGeom prst="roundRect">
            <a:avLst>
              <a:gd name="adj" fmla="val 3554"/>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Top Corners Rounded 3">
            <a:extLst>
              <a:ext uri="{FF2B5EF4-FFF2-40B4-BE49-F238E27FC236}">
                <a16:creationId xmlns:a16="http://schemas.microsoft.com/office/drawing/2014/main" id="{D378E35D-1FB8-143C-4ECE-35649AFF1D8E}"/>
              </a:ext>
            </a:extLst>
          </xdr:cNvPr>
          <xdr:cNvSpPr/>
        </xdr:nvSpPr>
        <xdr:spPr>
          <a:xfrm>
            <a:off x="123825" y="57150"/>
            <a:ext cx="17620488" cy="1323976"/>
          </a:xfrm>
          <a:prstGeom prst="round2Same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Single Corner Rounded 4">
            <a:extLst>
              <a:ext uri="{FF2B5EF4-FFF2-40B4-BE49-F238E27FC236}">
                <a16:creationId xmlns:a16="http://schemas.microsoft.com/office/drawing/2014/main" id="{31177004-83FB-77BC-B29F-39A71BE77385}"/>
              </a:ext>
            </a:extLst>
          </xdr:cNvPr>
          <xdr:cNvSpPr/>
        </xdr:nvSpPr>
        <xdr:spPr>
          <a:xfrm flipH="1">
            <a:off x="123823" y="57150"/>
            <a:ext cx="4572000" cy="1325880"/>
          </a:xfrm>
          <a:prstGeom prst="round1Rect">
            <a:avLst>
              <a:gd name="adj" fmla="val 14512"/>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Single Corner Rounded 5">
            <a:extLst>
              <a:ext uri="{FF2B5EF4-FFF2-40B4-BE49-F238E27FC236}">
                <a16:creationId xmlns:a16="http://schemas.microsoft.com/office/drawing/2014/main" id="{678F5119-718F-F169-2CC6-6C39E44CBFE2}"/>
              </a:ext>
            </a:extLst>
          </xdr:cNvPr>
          <xdr:cNvSpPr/>
        </xdr:nvSpPr>
        <xdr:spPr>
          <a:xfrm>
            <a:off x="13173074" y="57150"/>
            <a:ext cx="4572000" cy="1325880"/>
          </a:xfrm>
          <a:prstGeom prst="round1Rect">
            <a:avLst>
              <a:gd name="adj" fmla="val 15949"/>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766706A2-5ED1-F675-3432-FA8B67DC6FFC}"/>
              </a:ext>
            </a:extLst>
          </xdr:cNvPr>
          <xdr:cNvSpPr txBox="1"/>
        </xdr:nvSpPr>
        <xdr:spPr>
          <a:xfrm>
            <a:off x="5953125" y="104775"/>
            <a:ext cx="699135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Constantia" panose="02030602050306030303" pitchFamily="18" charset="0"/>
                <a:cs typeface="Aharoni" panose="020F0502020204030204" pitchFamily="2" charset="-79"/>
              </a:rPr>
              <a:t>ENERGY CONSUMPTION COMMAND</a:t>
            </a:r>
            <a:r>
              <a:rPr lang="en-US" sz="2400" b="1" baseline="0">
                <a:latin typeface="Constantia" panose="02030602050306030303" pitchFamily="18" charset="0"/>
                <a:cs typeface="Aharoni" panose="020F0502020204030204" pitchFamily="2" charset="-79"/>
              </a:rPr>
              <a:t> CENTER</a:t>
            </a:r>
            <a:endParaRPr lang="en-US" sz="2400" b="1">
              <a:latin typeface="Constantia" panose="02030602050306030303" pitchFamily="18" charset="0"/>
              <a:cs typeface="Aharoni" panose="020F0502020204030204" pitchFamily="2" charset="-79"/>
            </a:endParaRPr>
          </a:p>
        </xdr:txBody>
      </xdr:sp>
      <xdr:cxnSp macro="">
        <xdr:nvCxnSpPr>
          <xdr:cNvPr id="9" name="Straight Connector 8">
            <a:extLst>
              <a:ext uri="{FF2B5EF4-FFF2-40B4-BE49-F238E27FC236}">
                <a16:creationId xmlns:a16="http://schemas.microsoft.com/office/drawing/2014/main" id="{C0DA5279-C06F-840F-4589-6F0B1547D8E6}"/>
              </a:ext>
            </a:extLst>
          </xdr:cNvPr>
          <xdr:cNvCxnSpPr/>
        </xdr:nvCxnSpPr>
        <xdr:spPr>
          <a:xfrm flipH="1">
            <a:off x="5991225" y="171449"/>
            <a:ext cx="0" cy="1097280"/>
          </a:xfrm>
          <a:prstGeom prst="line">
            <a:avLst/>
          </a:prstGeom>
        </xdr:spPr>
        <xdr:style>
          <a:lnRef idx="2">
            <a:schemeClr val="dk1"/>
          </a:lnRef>
          <a:fillRef idx="0">
            <a:schemeClr val="dk1"/>
          </a:fillRef>
          <a:effectRef idx="1">
            <a:schemeClr val="dk1"/>
          </a:effectRef>
          <a:fontRef idx="minor">
            <a:schemeClr val="tx1"/>
          </a:fontRef>
        </xdr:style>
      </xdr:cxnSp>
      <xdr:sp macro="" textlink="">
        <xdr:nvSpPr>
          <xdr:cNvPr id="10" name="TextBox 9">
            <a:extLst>
              <a:ext uri="{FF2B5EF4-FFF2-40B4-BE49-F238E27FC236}">
                <a16:creationId xmlns:a16="http://schemas.microsoft.com/office/drawing/2014/main" id="{B1AD560B-4B63-A654-818B-DB84BEF01241}"/>
              </a:ext>
            </a:extLst>
          </xdr:cNvPr>
          <xdr:cNvSpPr txBox="1"/>
        </xdr:nvSpPr>
        <xdr:spPr>
          <a:xfrm>
            <a:off x="6019800" y="809625"/>
            <a:ext cx="38290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baseline="0">
                <a:solidFill>
                  <a:schemeClr val="bg1">
                    <a:lumMod val="85000"/>
                  </a:schemeClr>
                </a:solidFill>
                <a:latin typeface="Aharoni" panose="02010803020104030203" pitchFamily="2" charset="-79"/>
                <a:cs typeface="Aharoni" panose="02010803020104030203" pitchFamily="2" charset="-79"/>
              </a:rPr>
              <a:t>Water Analytics Dashboard</a:t>
            </a:r>
            <a:endParaRPr lang="en-US" sz="1600" b="1">
              <a:solidFill>
                <a:schemeClr val="bg1">
                  <a:lumMod val="85000"/>
                </a:schemeClr>
              </a:solidFill>
              <a:latin typeface="Aharoni" panose="02010803020104030203" pitchFamily="2" charset="-79"/>
              <a:cs typeface="Aharoni" panose="02010803020104030203" pitchFamily="2" charset="-79"/>
            </a:endParaRPr>
          </a:p>
        </xdr:txBody>
      </xdr:sp>
      <xdr:sp macro="" textlink="">
        <xdr:nvSpPr>
          <xdr:cNvPr id="11" name="TextBox 10">
            <a:extLst>
              <a:ext uri="{FF2B5EF4-FFF2-40B4-BE49-F238E27FC236}">
                <a16:creationId xmlns:a16="http://schemas.microsoft.com/office/drawing/2014/main" id="{53FBF3DD-48C0-FD97-18F5-1EEB8A8CA06E}"/>
              </a:ext>
            </a:extLst>
          </xdr:cNvPr>
          <xdr:cNvSpPr txBox="1"/>
        </xdr:nvSpPr>
        <xdr:spPr>
          <a:xfrm>
            <a:off x="2000248" y="128587"/>
            <a:ext cx="8191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haroni" panose="02010803020104030203" pitchFamily="2" charset="-79"/>
                <a:cs typeface="Aharoni" panose="02010803020104030203" pitchFamily="2" charset="-79"/>
              </a:rPr>
              <a:t>Year</a:t>
            </a:r>
          </a:p>
        </xdr:txBody>
      </xdr:sp>
      <xdr:sp macro="" textlink="">
        <xdr:nvSpPr>
          <xdr:cNvPr id="12" name="TextBox 11">
            <a:extLst>
              <a:ext uri="{FF2B5EF4-FFF2-40B4-BE49-F238E27FC236}">
                <a16:creationId xmlns:a16="http://schemas.microsoft.com/office/drawing/2014/main" id="{0E22C7C4-DC01-B9FD-7CAF-2C0242BF7B13}"/>
              </a:ext>
            </a:extLst>
          </xdr:cNvPr>
          <xdr:cNvSpPr txBox="1"/>
        </xdr:nvSpPr>
        <xdr:spPr>
          <a:xfrm>
            <a:off x="14882812" y="147637"/>
            <a:ext cx="11525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haroni" panose="02010803020104030203" pitchFamily="2" charset="-79"/>
                <a:cs typeface="Aharoni" panose="02010803020104030203" pitchFamily="2" charset="-79"/>
              </a:rPr>
              <a:t>Month</a:t>
            </a:r>
          </a:p>
        </xdr:txBody>
      </xdr:sp>
    </xdr:grpSp>
    <xdr:clientData/>
  </xdr:twoCellAnchor>
  <xdr:twoCellAnchor>
    <xdr:from>
      <xdr:col>3</xdr:col>
      <xdr:colOff>120533</xdr:colOff>
      <xdr:row>7</xdr:row>
      <xdr:rowOff>142875</xdr:rowOff>
    </xdr:from>
    <xdr:to>
      <xdr:col>5</xdr:col>
      <xdr:colOff>550972</xdr:colOff>
      <xdr:row>13</xdr:row>
      <xdr:rowOff>5715</xdr:rowOff>
    </xdr:to>
    <xdr:sp macro="" textlink="">
      <xdr:nvSpPr>
        <xdr:cNvPr id="13" name="Rectangle: Rounded Corners 12">
          <a:extLst>
            <a:ext uri="{FF2B5EF4-FFF2-40B4-BE49-F238E27FC236}">
              <a16:creationId xmlns:a16="http://schemas.microsoft.com/office/drawing/2014/main" id="{F3F1A032-7D0F-4107-8430-47673C56CA57}"/>
            </a:ext>
          </a:extLst>
        </xdr:cNvPr>
        <xdr:cNvSpPr/>
      </xdr:nvSpPr>
      <xdr:spPr>
        <a:xfrm>
          <a:off x="1949333" y="1476375"/>
          <a:ext cx="1649639" cy="1005840"/>
        </a:xfrm>
        <a:prstGeom prst="roundRect">
          <a:avLst>
            <a:gd name="adj" fmla="val 16205"/>
          </a:avLst>
        </a:prstGeom>
        <a:solidFill>
          <a:schemeClr val="accent1">
            <a:lumMod val="60000"/>
            <a:lumOff val="4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7</xdr:row>
      <xdr:rowOff>142875</xdr:rowOff>
    </xdr:from>
    <xdr:to>
      <xdr:col>3</xdr:col>
      <xdr:colOff>4753</xdr:colOff>
      <xdr:row>13</xdr:row>
      <xdr:rowOff>5715</xdr:rowOff>
    </xdr:to>
    <xdr:sp macro="" textlink="">
      <xdr:nvSpPr>
        <xdr:cNvPr id="14" name="Rectangle: Rounded Corners 13">
          <a:extLst>
            <a:ext uri="{FF2B5EF4-FFF2-40B4-BE49-F238E27FC236}">
              <a16:creationId xmlns:a16="http://schemas.microsoft.com/office/drawing/2014/main" id="{06B0916B-1A1E-4334-8970-DCB73898B914}"/>
            </a:ext>
          </a:extLst>
        </xdr:cNvPr>
        <xdr:cNvSpPr/>
      </xdr:nvSpPr>
      <xdr:spPr>
        <a:xfrm>
          <a:off x="177800" y="1476375"/>
          <a:ext cx="1655753" cy="1005840"/>
        </a:xfrm>
        <a:prstGeom prst="roundRect">
          <a:avLst>
            <a:gd name="adj" fmla="val 16205"/>
          </a:avLst>
        </a:prstGeom>
        <a:solidFill>
          <a:schemeClr val="accent1">
            <a:lumMod val="60000"/>
            <a:lumOff val="4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57151</xdr:colOff>
      <xdr:row>7</xdr:row>
      <xdr:rowOff>142875</xdr:rowOff>
    </xdr:from>
    <xdr:to>
      <xdr:col>8</xdr:col>
      <xdr:colOff>482601</xdr:colOff>
      <xdr:row>13</xdr:row>
      <xdr:rowOff>5715</xdr:rowOff>
    </xdr:to>
    <xdr:sp macro="" textlink="">
      <xdr:nvSpPr>
        <xdr:cNvPr id="15" name="Rectangle: Rounded Corners 14">
          <a:extLst>
            <a:ext uri="{FF2B5EF4-FFF2-40B4-BE49-F238E27FC236}">
              <a16:creationId xmlns:a16="http://schemas.microsoft.com/office/drawing/2014/main" id="{B10E06D7-5EE2-442E-9035-8F3D473B267F}"/>
            </a:ext>
          </a:extLst>
        </xdr:cNvPr>
        <xdr:cNvSpPr/>
      </xdr:nvSpPr>
      <xdr:spPr>
        <a:xfrm>
          <a:off x="3714751" y="1476375"/>
          <a:ext cx="1644650" cy="1005840"/>
        </a:xfrm>
        <a:prstGeom prst="roundRect">
          <a:avLst>
            <a:gd name="adj" fmla="val 16205"/>
          </a:avLst>
        </a:prstGeom>
        <a:solidFill>
          <a:schemeClr val="accent1">
            <a:lumMod val="60000"/>
            <a:lumOff val="4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13</xdr:row>
      <xdr:rowOff>98425</xdr:rowOff>
    </xdr:from>
    <xdr:to>
      <xdr:col>8</xdr:col>
      <xdr:colOff>482601</xdr:colOff>
      <xdr:row>26</xdr:row>
      <xdr:rowOff>182245</xdr:rowOff>
    </xdr:to>
    <xdr:sp macro="" textlink="">
      <xdr:nvSpPr>
        <xdr:cNvPr id="16" name="Rectangle: Rounded Corners 15">
          <a:extLst>
            <a:ext uri="{FF2B5EF4-FFF2-40B4-BE49-F238E27FC236}">
              <a16:creationId xmlns:a16="http://schemas.microsoft.com/office/drawing/2014/main" id="{46376321-FA3B-464D-B5B7-33F645BAEBC4}"/>
            </a:ext>
          </a:extLst>
        </xdr:cNvPr>
        <xdr:cNvSpPr/>
      </xdr:nvSpPr>
      <xdr:spPr>
        <a:xfrm>
          <a:off x="177800" y="2574925"/>
          <a:ext cx="5181601" cy="2560320"/>
        </a:xfrm>
        <a:prstGeom prst="roundRect">
          <a:avLst>
            <a:gd name="adj" fmla="val 16205"/>
          </a:avLst>
        </a:prstGeom>
        <a:solidFill>
          <a:srgbClr val="002B82"/>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177799</xdr:colOff>
      <xdr:row>27</xdr:row>
      <xdr:rowOff>50800</xdr:rowOff>
    </xdr:from>
    <xdr:to>
      <xdr:col>8</xdr:col>
      <xdr:colOff>485647</xdr:colOff>
      <xdr:row>40</xdr:row>
      <xdr:rowOff>134620</xdr:rowOff>
    </xdr:to>
    <xdr:sp macro="" textlink="">
      <xdr:nvSpPr>
        <xdr:cNvPr id="17" name="Rectangle: Rounded Corners 16">
          <a:extLst>
            <a:ext uri="{FF2B5EF4-FFF2-40B4-BE49-F238E27FC236}">
              <a16:creationId xmlns:a16="http://schemas.microsoft.com/office/drawing/2014/main" id="{3A844E77-41CE-4BE2-AE54-EC0DDCF6DBA9}"/>
            </a:ext>
          </a:extLst>
        </xdr:cNvPr>
        <xdr:cNvSpPr/>
      </xdr:nvSpPr>
      <xdr:spPr>
        <a:xfrm>
          <a:off x="177799" y="5194300"/>
          <a:ext cx="5184648" cy="2560320"/>
        </a:xfrm>
        <a:prstGeom prst="roundRect">
          <a:avLst>
            <a:gd name="adj" fmla="val 16205"/>
          </a:avLst>
        </a:prstGeom>
        <a:solidFill>
          <a:srgbClr val="002B82"/>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551932</xdr:colOff>
      <xdr:row>17</xdr:row>
      <xdr:rowOff>62593</xdr:rowOff>
    </xdr:from>
    <xdr:to>
      <xdr:col>19</xdr:col>
      <xdr:colOff>475732</xdr:colOff>
      <xdr:row>28</xdr:row>
      <xdr:rowOff>70213</xdr:rowOff>
    </xdr:to>
    <xdr:sp macro="" textlink="">
      <xdr:nvSpPr>
        <xdr:cNvPr id="18" name="Rectangle: Rounded Corners 17">
          <a:extLst>
            <a:ext uri="{FF2B5EF4-FFF2-40B4-BE49-F238E27FC236}">
              <a16:creationId xmlns:a16="http://schemas.microsoft.com/office/drawing/2014/main" id="{5A7E2B0B-3170-4862-A7E7-A9075763AE09}"/>
            </a:ext>
          </a:extLst>
        </xdr:cNvPr>
        <xdr:cNvSpPr/>
      </xdr:nvSpPr>
      <xdr:spPr>
        <a:xfrm>
          <a:off x="5428732" y="3301093"/>
          <a:ext cx="6629400" cy="2103120"/>
        </a:xfrm>
        <a:prstGeom prst="roundRect">
          <a:avLst>
            <a:gd name="adj" fmla="val 16205"/>
          </a:avLst>
        </a:prstGeom>
        <a:solidFill>
          <a:schemeClr val="bg2">
            <a:lumMod val="9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551932</xdr:colOff>
      <xdr:row>28</xdr:row>
      <xdr:rowOff>153216</xdr:rowOff>
    </xdr:from>
    <xdr:to>
      <xdr:col>19</xdr:col>
      <xdr:colOff>476186</xdr:colOff>
      <xdr:row>40</xdr:row>
      <xdr:rowOff>134620</xdr:rowOff>
    </xdr:to>
    <xdr:sp macro="" textlink="">
      <xdr:nvSpPr>
        <xdr:cNvPr id="19" name="Rectangle: Rounded Corners 18">
          <a:extLst>
            <a:ext uri="{FF2B5EF4-FFF2-40B4-BE49-F238E27FC236}">
              <a16:creationId xmlns:a16="http://schemas.microsoft.com/office/drawing/2014/main" id="{12116105-418B-4FCA-BD00-6505F5F55209}"/>
            </a:ext>
          </a:extLst>
        </xdr:cNvPr>
        <xdr:cNvSpPr/>
      </xdr:nvSpPr>
      <xdr:spPr>
        <a:xfrm>
          <a:off x="5428732" y="5487216"/>
          <a:ext cx="6629854" cy="2267404"/>
        </a:xfrm>
        <a:prstGeom prst="roundRect">
          <a:avLst>
            <a:gd name="adj" fmla="val 16205"/>
          </a:avLst>
        </a:prstGeom>
        <a:solidFill>
          <a:schemeClr val="bg2">
            <a:lumMod val="90000"/>
          </a:schemeClr>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542407</xdr:colOff>
      <xdr:row>7</xdr:row>
      <xdr:rowOff>142875</xdr:rowOff>
    </xdr:from>
    <xdr:to>
      <xdr:col>19</xdr:col>
      <xdr:colOff>466207</xdr:colOff>
      <xdr:row>16</xdr:row>
      <xdr:rowOff>170090</xdr:rowOff>
    </xdr:to>
    <xdr:sp macro="" textlink="">
      <xdr:nvSpPr>
        <xdr:cNvPr id="20" name="Rectangle: Rounded Corners 19">
          <a:extLst>
            <a:ext uri="{FF2B5EF4-FFF2-40B4-BE49-F238E27FC236}">
              <a16:creationId xmlns:a16="http://schemas.microsoft.com/office/drawing/2014/main" id="{9E7BDB94-E849-4AFB-B7A7-C5F482407A34}"/>
            </a:ext>
          </a:extLst>
        </xdr:cNvPr>
        <xdr:cNvSpPr/>
      </xdr:nvSpPr>
      <xdr:spPr>
        <a:xfrm>
          <a:off x="5419207" y="1476375"/>
          <a:ext cx="6629400" cy="1741715"/>
        </a:xfrm>
        <a:prstGeom prst="roundRect">
          <a:avLst>
            <a:gd name="adj" fmla="val 16205"/>
          </a:avLst>
        </a:prstGeom>
        <a:solidFill>
          <a:srgbClr val="002B82"/>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17</xdr:row>
      <xdr:rowOff>62593</xdr:rowOff>
    </xdr:from>
    <xdr:to>
      <xdr:col>29</xdr:col>
      <xdr:colOff>6022</xdr:colOff>
      <xdr:row>28</xdr:row>
      <xdr:rowOff>70213</xdr:rowOff>
    </xdr:to>
    <xdr:sp macro="" textlink="">
      <xdr:nvSpPr>
        <xdr:cNvPr id="21" name="Rectangle: Rounded Corners 20">
          <a:extLst>
            <a:ext uri="{FF2B5EF4-FFF2-40B4-BE49-F238E27FC236}">
              <a16:creationId xmlns:a16="http://schemas.microsoft.com/office/drawing/2014/main" id="{142EBCC3-68B7-4F92-BCC2-7B3777ABD661}"/>
            </a:ext>
          </a:extLst>
        </xdr:cNvPr>
        <xdr:cNvSpPr/>
      </xdr:nvSpPr>
      <xdr:spPr>
        <a:xfrm>
          <a:off x="12124870" y="3301093"/>
          <a:ext cx="5559552" cy="2103120"/>
        </a:xfrm>
        <a:prstGeom prst="roundRect">
          <a:avLst>
            <a:gd name="adj" fmla="val 16205"/>
          </a:avLst>
        </a:prstGeom>
        <a:solidFill>
          <a:srgbClr val="001C54"/>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28</xdr:row>
      <xdr:rowOff>153216</xdr:rowOff>
    </xdr:from>
    <xdr:to>
      <xdr:col>29</xdr:col>
      <xdr:colOff>8130</xdr:colOff>
      <xdr:row>40</xdr:row>
      <xdr:rowOff>134620</xdr:rowOff>
    </xdr:to>
    <xdr:sp macro="" textlink="">
      <xdr:nvSpPr>
        <xdr:cNvPr id="22" name="Rectangle: Rounded Corners 21">
          <a:extLst>
            <a:ext uri="{FF2B5EF4-FFF2-40B4-BE49-F238E27FC236}">
              <a16:creationId xmlns:a16="http://schemas.microsoft.com/office/drawing/2014/main" id="{777973E2-C4B9-452A-ACCB-302E780F1F02}"/>
            </a:ext>
          </a:extLst>
        </xdr:cNvPr>
        <xdr:cNvSpPr/>
      </xdr:nvSpPr>
      <xdr:spPr>
        <a:xfrm>
          <a:off x="12124870" y="5487216"/>
          <a:ext cx="5561660" cy="2267404"/>
        </a:xfrm>
        <a:prstGeom prst="roundRect">
          <a:avLst>
            <a:gd name="adj" fmla="val 16205"/>
          </a:avLst>
        </a:prstGeom>
        <a:solidFill>
          <a:srgbClr val="001C54"/>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7</xdr:row>
      <xdr:rowOff>142875</xdr:rowOff>
    </xdr:from>
    <xdr:to>
      <xdr:col>29</xdr:col>
      <xdr:colOff>6022</xdr:colOff>
      <xdr:row>16</xdr:row>
      <xdr:rowOff>170090</xdr:rowOff>
    </xdr:to>
    <xdr:sp macro="" textlink="">
      <xdr:nvSpPr>
        <xdr:cNvPr id="23" name="Rectangle: Rounded Corners 22">
          <a:extLst>
            <a:ext uri="{FF2B5EF4-FFF2-40B4-BE49-F238E27FC236}">
              <a16:creationId xmlns:a16="http://schemas.microsoft.com/office/drawing/2014/main" id="{6F543D2F-E191-49FC-9434-6974785A0912}"/>
            </a:ext>
          </a:extLst>
        </xdr:cNvPr>
        <xdr:cNvSpPr/>
      </xdr:nvSpPr>
      <xdr:spPr>
        <a:xfrm>
          <a:off x="12124870" y="1476375"/>
          <a:ext cx="5559552" cy="1741715"/>
        </a:xfrm>
        <a:prstGeom prst="roundRect">
          <a:avLst>
            <a:gd name="adj" fmla="val 16205"/>
          </a:avLst>
        </a:prstGeom>
        <a:solidFill>
          <a:srgbClr val="002B82"/>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382588</xdr:colOff>
      <xdr:row>16</xdr:row>
      <xdr:rowOff>3175</xdr:rowOff>
    </xdr:from>
    <xdr:to>
      <xdr:col>8</xdr:col>
      <xdr:colOff>244475</xdr:colOff>
      <xdr:row>26</xdr:row>
      <xdr:rowOff>508</xdr:rowOff>
    </xdr:to>
    <xdr:grpSp>
      <xdr:nvGrpSpPr>
        <xdr:cNvPr id="24" name="top table">
          <a:extLst>
            <a:ext uri="{FF2B5EF4-FFF2-40B4-BE49-F238E27FC236}">
              <a16:creationId xmlns:a16="http://schemas.microsoft.com/office/drawing/2014/main" id="{C82D9813-CBA7-408C-8D09-B311DAF7C7A4}"/>
            </a:ext>
          </a:extLst>
        </xdr:cNvPr>
        <xdr:cNvGrpSpPr/>
      </xdr:nvGrpSpPr>
      <xdr:grpSpPr>
        <a:xfrm>
          <a:off x="2820988" y="3051175"/>
          <a:ext cx="2300287" cy="1902333"/>
          <a:chOff x="2873375" y="2908300"/>
          <a:chExt cx="2300287" cy="1902333"/>
        </a:xfrm>
      </xdr:grpSpPr>
      <xdr:cxnSp macro="">
        <xdr:nvCxnSpPr>
          <xdr:cNvPr id="25" name="Straight Connector 24">
            <a:extLst>
              <a:ext uri="{FF2B5EF4-FFF2-40B4-BE49-F238E27FC236}">
                <a16:creationId xmlns:a16="http://schemas.microsoft.com/office/drawing/2014/main" id="{BB479478-6C0B-2AB2-512E-C4F9DBA070AA}"/>
              </a:ext>
            </a:extLst>
          </xdr:cNvPr>
          <xdr:cNvCxnSpPr/>
        </xdr:nvCxnSpPr>
        <xdr:spPr>
          <a:xfrm>
            <a:off x="2887662" y="3860801"/>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6" name="Straight Connector 25">
            <a:extLst>
              <a:ext uri="{FF2B5EF4-FFF2-40B4-BE49-F238E27FC236}">
                <a16:creationId xmlns:a16="http://schemas.microsoft.com/office/drawing/2014/main" id="{63A28659-4AA7-F923-4FB0-E32BAA0CB138}"/>
              </a:ext>
            </a:extLst>
          </xdr:cNvPr>
          <xdr:cNvCxnSpPr/>
        </xdr:nvCxnSpPr>
        <xdr:spPr>
          <a:xfrm>
            <a:off x="2878137" y="3389313"/>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7" name="Straight Connector 26">
            <a:extLst>
              <a:ext uri="{FF2B5EF4-FFF2-40B4-BE49-F238E27FC236}">
                <a16:creationId xmlns:a16="http://schemas.microsoft.com/office/drawing/2014/main" id="{14CCD8B2-E059-8007-FB2B-B878836A4C93}"/>
              </a:ext>
            </a:extLst>
          </xdr:cNvPr>
          <xdr:cNvCxnSpPr/>
        </xdr:nvCxnSpPr>
        <xdr:spPr>
          <a:xfrm>
            <a:off x="2887662" y="4332289"/>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8" name="Straight Connector 27">
            <a:extLst>
              <a:ext uri="{FF2B5EF4-FFF2-40B4-BE49-F238E27FC236}">
                <a16:creationId xmlns:a16="http://schemas.microsoft.com/office/drawing/2014/main" id="{F6B3ADDE-0AEE-B40B-A9FE-E6595851B351}"/>
              </a:ext>
            </a:extLst>
          </xdr:cNvPr>
          <xdr:cNvCxnSpPr/>
        </xdr:nvCxnSpPr>
        <xdr:spPr>
          <a:xfrm flipH="1">
            <a:off x="4044950" y="2917825"/>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9" name="Straight Connector 28">
            <a:extLst>
              <a:ext uri="{FF2B5EF4-FFF2-40B4-BE49-F238E27FC236}">
                <a16:creationId xmlns:a16="http://schemas.microsoft.com/office/drawing/2014/main" id="{0C344040-8F0F-0F63-9261-1B2FBDFDCCF7}"/>
              </a:ext>
            </a:extLst>
          </xdr:cNvPr>
          <xdr:cNvCxnSpPr/>
        </xdr:nvCxnSpPr>
        <xdr:spPr>
          <a:xfrm>
            <a:off x="2878137" y="4803775"/>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0" name="Straight Connector 29">
            <a:extLst>
              <a:ext uri="{FF2B5EF4-FFF2-40B4-BE49-F238E27FC236}">
                <a16:creationId xmlns:a16="http://schemas.microsoft.com/office/drawing/2014/main" id="{2BED75CF-65F4-7D36-A190-B6A0651E503F}"/>
              </a:ext>
            </a:extLst>
          </xdr:cNvPr>
          <xdr:cNvCxnSpPr/>
        </xdr:nvCxnSpPr>
        <xdr:spPr>
          <a:xfrm>
            <a:off x="5168900" y="2913062"/>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1" name="Straight Connector 30">
            <a:extLst>
              <a:ext uri="{FF2B5EF4-FFF2-40B4-BE49-F238E27FC236}">
                <a16:creationId xmlns:a16="http://schemas.microsoft.com/office/drawing/2014/main" id="{CE028908-14DC-3A03-07A7-950754580844}"/>
              </a:ext>
            </a:extLst>
          </xdr:cNvPr>
          <xdr:cNvCxnSpPr/>
        </xdr:nvCxnSpPr>
        <xdr:spPr>
          <a:xfrm>
            <a:off x="2873375" y="2917825"/>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2" name="Straight Connector 31">
            <a:extLst>
              <a:ext uri="{FF2B5EF4-FFF2-40B4-BE49-F238E27FC236}">
                <a16:creationId xmlns:a16="http://schemas.microsoft.com/office/drawing/2014/main" id="{31C2B633-6A3D-A9A8-81F3-CFD39D2EC7B1}"/>
              </a:ext>
            </a:extLst>
          </xdr:cNvPr>
          <xdr:cNvCxnSpPr/>
        </xdr:nvCxnSpPr>
        <xdr:spPr>
          <a:xfrm>
            <a:off x="2878137" y="2908300"/>
            <a:ext cx="2286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382588</xdr:colOff>
      <xdr:row>29</xdr:row>
      <xdr:rowOff>165100</xdr:rowOff>
    </xdr:from>
    <xdr:to>
      <xdr:col>8</xdr:col>
      <xdr:colOff>244475</xdr:colOff>
      <xdr:row>39</xdr:row>
      <xdr:rowOff>162433</xdr:rowOff>
    </xdr:to>
    <xdr:grpSp>
      <xdr:nvGrpSpPr>
        <xdr:cNvPr id="33" name="bottom table">
          <a:extLst>
            <a:ext uri="{FF2B5EF4-FFF2-40B4-BE49-F238E27FC236}">
              <a16:creationId xmlns:a16="http://schemas.microsoft.com/office/drawing/2014/main" id="{DB332429-AEA6-4B71-A7DD-DA356EEF6085}"/>
            </a:ext>
          </a:extLst>
        </xdr:cNvPr>
        <xdr:cNvGrpSpPr/>
      </xdr:nvGrpSpPr>
      <xdr:grpSpPr>
        <a:xfrm>
          <a:off x="2820988" y="5689600"/>
          <a:ext cx="2300287" cy="1902333"/>
          <a:chOff x="2882899" y="5451475"/>
          <a:chExt cx="2300287" cy="1902333"/>
        </a:xfrm>
      </xdr:grpSpPr>
      <xdr:cxnSp macro="">
        <xdr:nvCxnSpPr>
          <xdr:cNvPr id="34" name="Straight Connector 33">
            <a:extLst>
              <a:ext uri="{FF2B5EF4-FFF2-40B4-BE49-F238E27FC236}">
                <a16:creationId xmlns:a16="http://schemas.microsoft.com/office/drawing/2014/main" id="{7B8C9D5C-7E23-C240-DAC4-DB80AA8DA8A4}"/>
              </a:ext>
            </a:extLst>
          </xdr:cNvPr>
          <xdr:cNvCxnSpPr/>
        </xdr:nvCxnSpPr>
        <xdr:spPr>
          <a:xfrm>
            <a:off x="2897186" y="6403976"/>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5" name="Straight Connector 34">
            <a:extLst>
              <a:ext uri="{FF2B5EF4-FFF2-40B4-BE49-F238E27FC236}">
                <a16:creationId xmlns:a16="http://schemas.microsoft.com/office/drawing/2014/main" id="{9DC0017A-A40F-E613-6442-CCCCED58CDE8}"/>
              </a:ext>
            </a:extLst>
          </xdr:cNvPr>
          <xdr:cNvCxnSpPr/>
        </xdr:nvCxnSpPr>
        <xdr:spPr>
          <a:xfrm>
            <a:off x="2887661" y="5932488"/>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6" name="Straight Connector 35">
            <a:extLst>
              <a:ext uri="{FF2B5EF4-FFF2-40B4-BE49-F238E27FC236}">
                <a16:creationId xmlns:a16="http://schemas.microsoft.com/office/drawing/2014/main" id="{0F2FD68F-066C-D483-2CF2-0C5077706451}"/>
              </a:ext>
            </a:extLst>
          </xdr:cNvPr>
          <xdr:cNvCxnSpPr/>
        </xdr:nvCxnSpPr>
        <xdr:spPr>
          <a:xfrm>
            <a:off x="2897186" y="6875464"/>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7" name="Straight Connector 36">
            <a:extLst>
              <a:ext uri="{FF2B5EF4-FFF2-40B4-BE49-F238E27FC236}">
                <a16:creationId xmlns:a16="http://schemas.microsoft.com/office/drawing/2014/main" id="{9164CEB8-DB21-FD40-6EBE-72E2AE1DAA7B}"/>
              </a:ext>
            </a:extLst>
          </xdr:cNvPr>
          <xdr:cNvCxnSpPr/>
        </xdr:nvCxnSpPr>
        <xdr:spPr>
          <a:xfrm flipH="1">
            <a:off x="4054474" y="5461000"/>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8" name="Straight Connector 37">
            <a:extLst>
              <a:ext uri="{FF2B5EF4-FFF2-40B4-BE49-F238E27FC236}">
                <a16:creationId xmlns:a16="http://schemas.microsoft.com/office/drawing/2014/main" id="{C28282E7-E41C-CB14-0528-68863FB0C14A}"/>
              </a:ext>
            </a:extLst>
          </xdr:cNvPr>
          <xdr:cNvCxnSpPr/>
        </xdr:nvCxnSpPr>
        <xdr:spPr>
          <a:xfrm>
            <a:off x="2887661" y="7346950"/>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9" name="Straight Connector 38">
            <a:extLst>
              <a:ext uri="{FF2B5EF4-FFF2-40B4-BE49-F238E27FC236}">
                <a16:creationId xmlns:a16="http://schemas.microsoft.com/office/drawing/2014/main" id="{1FB209D2-B8BF-53B8-2CB7-668B36C7DD38}"/>
              </a:ext>
            </a:extLst>
          </xdr:cNvPr>
          <xdr:cNvCxnSpPr/>
        </xdr:nvCxnSpPr>
        <xdr:spPr>
          <a:xfrm>
            <a:off x="5178424" y="5456237"/>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0" name="Straight Connector 39">
            <a:extLst>
              <a:ext uri="{FF2B5EF4-FFF2-40B4-BE49-F238E27FC236}">
                <a16:creationId xmlns:a16="http://schemas.microsoft.com/office/drawing/2014/main" id="{76DE04FE-F51E-1AE5-7A29-4C4A3871A8BD}"/>
              </a:ext>
            </a:extLst>
          </xdr:cNvPr>
          <xdr:cNvCxnSpPr/>
        </xdr:nvCxnSpPr>
        <xdr:spPr>
          <a:xfrm>
            <a:off x="2882899" y="5461000"/>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1" name="Straight Connector 40">
            <a:extLst>
              <a:ext uri="{FF2B5EF4-FFF2-40B4-BE49-F238E27FC236}">
                <a16:creationId xmlns:a16="http://schemas.microsoft.com/office/drawing/2014/main" id="{85831515-706E-7A06-866D-A3570F9BB73E}"/>
              </a:ext>
            </a:extLst>
          </xdr:cNvPr>
          <xdr:cNvCxnSpPr/>
        </xdr:nvCxnSpPr>
        <xdr:spPr>
          <a:xfrm>
            <a:off x="2887661" y="5451475"/>
            <a:ext cx="2286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6</xdr:col>
      <xdr:colOff>347663</xdr:colOff>
      <xdr:row>16</xdr:row>
      <xdr:rowOff>9525</xdr:rowOff>
    </xdr:from>
    <xdr:to>
      <xdr:col>8</xdr:col>
      <xdr:colOff>223838</xdr:colOff>
      <xdr:row>18</xdr:row>
      <xdr:rowOff>85725</xdr:rowOff>
    </xdr:to>
    <xdr:sp macro="" textlink="">
      <xdr:nvSpPr>
        <xdr:cNvPr id="44" name="TextBox 43">
          <a:extLst>
            <a:ext uri="{FF2B5EF4-FFF2-40B4-BE49-F238E27FC236}">
              <a16:creationId xmlns:a16="http://schemas.microsoft.com/office/drawing/2014/main" id="{BAA45F32-2FB1-4784-AEE3-387A25BFD232}"/>
            </a:ext>
          </a:extLst>
        </xdr:cNvPr>
        <xdr:cNvSpPr txBox="1"/>
      </xdr:nvSpPr>
      <xdr:spPr>
        <a:xfrm>
          <a:off x="4005263" y="30575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ExtraBold" panose="020B0004020202020204" pitchFamily="34" charset="0"/>
              <a:ea typeface="ADLaM Display" panose="02010000000000000000" pitchFamily="2" charset="0"/>
              <a:cs typeface="ADLaM Display" panose="02010000000000000000" pitchFamily="2" charset="0"/>
            </a:rPr>
            <a:t>2016</a:t>
          </a:r>
        </a:p>
      </xdr:txBody>
    </xdr:sp>
    <xdr:clientData/>
  </xdr:twoCellAnchor>
  <xdr:twoCellAnchor>
    <xdr:from>
      <xdr:col>6</xdr:col>
      <xdr:colOff>347663</xdr:colOff>
      <xdr:row>18</xdr:row>
      <xdr:rowOff>98425</xdr:rowOff>
    </xdr:from>
    <xdr:to>
      <xdr:col>8</xdr:col>
      <xdr:colOff>223838</xdr:colOff>
      <xdr:row>20</xdr:row>
      <xdr:rowOff>174625</xdr:rowOff>
    </xdr:to>
    <xdr:sp macro="" textlink="">
      <xdr:nvSpPr>
        <xdr:cNvPr id="45" name="TextBox 44">
          <a:extLst>
            <a:ext uri="{FF2B5EF4-FFF2-40B4-BE49-F238E27FC236}">
              <a16:creationId xmlns:a16="http://schemas.microsoft.com/office/drawing/2014/main" id="{797C69E9-B24E-4797-87CA-81C049D1A14F}"/>
            </a:ext>
          </a:extLst>
        </xdr:cNvPr>
        <xdr:cNvSpPr txBox="1"/>
      </xdr:nvSpPr>
      <xdr:spPr>
        <a:xfrm>
          <a:off x="4005263" y="35274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ExtraBold" panose="020B0004020202020204" pitchFamily="34" charset="0"/>
              <a:ea typeface="ADLaM Display" panose="02010000000000000000" pitchFamily="2" charset="0"/>
              <a:cs typeface="ADLaM Display" panose="02010000000000000000" pitchFamily="2" charset="0"/>
            </a:rPr>
            <a:t>2017</a:t>
          </a:r>
        </a:p>
      </xdr:txBody>
    </xdr:sp>
    <xdr:clientData/>
  </xdr:twoCellAnchor>
  <xdr:twoCellAnchor>
    <xdr:from>
      <xdr:col>6</xdr:col>
      <xdr:colOff>347663</xdr:colOff>
      <xdr:row>20</xdr:row>
      <xdr:rowOff>187325</xdr:rowOff>
    </xdr:from>
    <xdr:to>
      <xdr:col>8</xdr:col>
      <xdr:colOff>223838</xdr:colOff>
      <xdr:row>23</xdr:row>
      <xdr:rowOff>73025</xdr:rowOff>
    </xdr:to>
    <xdr:sp macro="" textlink="">
      <xdr:nvSpPr>
        <xdr:cNvPr id="46" name="TextBox 45">
          <a:extLst>
            <a:ext uri="{FF2B5EF4-FFF2-40B4-BE49-F238E27FC236}">
              <a16:creationId xmlns:a16="http://schemas.microsoft.com/office/drawing/2014/main" id="{0C653CCB-CD7B-4997-A5A7-B9AA5451EB2D}"/>
            </a:ext>
          </a:extLst>
        </xdr:cNvPr>
        <xdr:cNvSpPr txBox="1"/>
      </xdr:nvSpPr>
      <xdr:spPr>
        <a:xfrm>
          <a:off x="4005263" y="39973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ExtraBold" panose="020B0004020202020204" pitchFamily="34" charset="0"/>
              <a:ea typeface="ADLaM Display" panose="02010000000000000000" pitchFamily="2" charset="0"/>
              <a:cs typeface="ADLaM Display" panose="02010000000000000000" pitchFamily="2" charset="0"/>
            </a:rPr>
            <a:t>2018</a:t>
          </a:r>
        </a:p>
      </xdr:txBody>
    </xdr:sp>
    <xdr:clientData/>
  </xdr:twoCellAnchor>
  <xdr:twoCellAnchor>
    <xdr:from>
      <xdr:col>6</xdr:col>
      <xdr:colOff>347663</xdr:colOff>
      <xdr:row>23</xdr:row>
      <xdr:rowOff>85725</xdr:rowOff>
    </xdr:from>
    <xdr:to>
      <xdr:col>8</xdr:col>
      <xdr:colOff>223838</xdr:colOff>
      <xdr:row>25</xdr:row>
      <xdr:rowOff>161925</xdr:rowOff>
    </xdr:to>
    <xdr:sp macro="" textlink="">
      <xdr:nvSpPr>
        <xdr:cNvPr id="47" name="TextBox 46">
          <a:extLst>
            <a:ext uri="{FF2B5EF4-FFF2-40B4-BE49-F238E27FC236}">
              <a16:creationId xmlns:a16="http://schemas.microsoft.com/office/drawing/2014/main" id="{4FEDE699-394F-4503-ADCF-AA776D890E57}"/>
            </a:ext>
          </a:extLst>
        </xdr:cNvPr>
        <xdr:cNvSpPr txBox="1"/>
      </xdr:nvSpPr>
      <xdr:spPr>
        <a:xfrm>
          <a:off x="4005263" y="44672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ExtraBold" panose="020B0004020202020204" pitchFamily="34" charset="0"/>
              <a:ea typeface="ADLaM Display" panose="02010000000000000000" pitchFamily="2" charset="0"/>
              <a:cs typeface="ADLaM Display" panose="02010000000000000000" pitchFamily="2" charset="0"/>
            </a:rPr>
            <a:t>2019</a:t>
          </a:r>
        </a:p>
      </xdr:txBody>
    </xdr:sp>
    <xdr:clientData/>
  </xdr:twoCellAnchor>
  <xdr:twoCellAnchor>
    <xdr:from>
      <xdr:col>4</xdr:col>
      <xdr:colOff>415925</xdr:colOff>
      <xdr:row>16</xdr:row>
      <xdr:rowOff>3175</xdr:rowOff>
    </xdr:from>
    <xdr:to>
      <xdr:col>6</xdr:col>
      <xdr:colOff>292100</xdr:colOff>
      <xdr:row>18</xdr:row>
      <xdr:rowOff>79375</xdr:rowOff>
    </xdr:to>
    <xdr:sp macro="" textlink="water_analysis!$F$9">
      <xdr:nvSpPr>
        <xdr:cNvPr id="48" name="TextBox 47">
          <a:extLst>
            <a:ext uri="{FF2B5EF4-FFF2-40B4-BE49-F238E27FC236}">
              <a16:creationId xmlns:a16="http://schemas.microsoft.com/office/drawing/2014/main" id="{C31AB886-F818-4496-A408-8B1D5F23FBD3}"/>
            </a:ext>
          </a:extLst>
        </xdr:cNvPr>
        <xdr:cNvSpPr txBox="1"/>
      </xdr:nvSpPr>
      <xdr:spPr>
        <a:xfrm>
          <a:off x="2854325" y="30511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37A51B-C928-438A-BDA3-72A47EE3848A}" type="TxLink">
            <a:rPr lang="en-US" sz="1400" b="1" i="0" u="none" strike="noStrike">
              <a:solidFill>
                <a:schemeClr val="bg1"/>
              </a:solidFill>
              <a:latin typeface="Aptos Display (Headings)"/>
            </a:rPr>
            <a:t>$2,259,326</a:t>
          </a:fld>
          <a:endParaRPr lang="en-US" sz="1400" b="1">
            <a:solidFill>
              <a:schemeClr val="bg1"/>
            </a:solidFill>
            <a:latin typeface="Aptos Display (Headings)"/>
          </a:endParaRPr>
        </a:p>
      </xdr:txBody>
    </xdr:sp>
    <xdr:clientData/>
  </xdr:twoCellAnchor>
  <xdr:twoCellAnchor>
    <xdr:from>
      <xdr:col>4</xdr:col>
      <xdr:colOff>415925</xdr:colOff>
      <xdr:row>18</xdr:row>
      <xdr:rowOff>92075</xdr:rowOff>
    </xdr:from>
    <xdr:to>
      <xdr:col>6</xdr:col>
      <xdr:colOff>323850</xdr:colOff>
      <xdr:row>20</xdr:row>
      <xdr:rowOff>168275</xdr:rowOff>
    </xdr:to>
    <xdr:sp macro="" textlink="water_analysis!$F$10">
      <xdr:nvSpPr>
        <xdr:cNvPr id="49" name="TextBox 48">
          <a:extLst>
            <a:ext uri="{FF2B5EF4-FFF2-40B4-BE49-F238E27FC236}">
              <a16:creationId xmlns:a16="http://schemas.microsoft.com/office/drawing/2014/main" id="{3FA57D78-3B00-498F-B4BE-8A23F5D6C60E}"/>
            </a:ext>
          </a:extLst>
        </xdr:cNvPr>
        <xdr:cNvSpPr txBox="1"/>
      </xdr:nvSpPr>
      <xdr:spPr>
        <a:xfrm>
          <a:off x="2854325" y="3521075"/>
          <a:ext cx="1127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4B106D-F7CE-448B-8C8D-E6BCE5CF280B}" type="TxLink">
            <a:rPr lang="en-US" sz="1400" b="1" i="0" u="none" strike="noStrike">
              <a:solidFill>
                <a:schemeClr val="bg1"/>
              </a:solidFill>
              <a:latin typeface="Aptos Display (Headings)"/>
            </a:rPr>
            <a:t>$2,638,119</a:t>
          </a:fld>
          <a:endParaRPr lang="en-US" sz="2400" b="1">
            <a:solidFill>
              <a:schemeClr val="bg1"/>
            </a:solidFill>
            <a:latin typeface="Aptos Display (Headings)"/>
          </a:endParaRPr>
        </a:p>
      </xdr:txBody>
    </xdr:sp>
    <xdr:clientData/>
  </xdr:twoCellAnchor>
  <xdr:twoCellAnchor>
    <xdr:from>
      <xdr:col>4</xdr:col>
      <xdr:colOff>415925</xdr:colOff>
      <xdr:row>20</xdr:row>
      <xdr:rowOff>180975</xdr:rowOff>
    </xdr:from>
    <xdr:to>
      <xdr:col>6</xdr:col>
      <xdr:colOff>323850</xdr:colOff>
      <xdr:row>23</xdr:row>
      <xdr:rowOff>66675</xdr:rowOff>
    </xdr:to>
    <xdr:sp macro="" textlink="water_analysis!$F$11">
      <xdr:nvSpPr>
        <xdr:cNvPr id="50" name="TextBox 49">
          <a:extLst>
            <a:ext uri="{FF2B5EF4-FFF2-40B4-BE49-F238E27FC236}">
              <a16:creationId xmlns:a16="http://schemas.microsoft.com/office/drawing/2014/main" id="{5589B26C-BED3-4B9C-91B0-77DA48385290}"/>
            </a:ext>
          </a:extLst>
        </xdr:cNvPr>
        <xdr:cNvSpPr txBox="1"/>
      </xdr:nvSpPr>
      <xdr:spPr>
        <a:xfrm>
          <a:off x="2854325" y="3990975"/>
          <a:ext cx="1127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D3F902-0337-4808-BB66-3F4DCDE8FCE5}" type="TxLink">
            <a:rPr lang="en-US" sz="1400" b="1" i="0" u="none" strike="noStrike">
              <a:solidFill>
                <a:schemeClr val="bg1"/>
              </a:solidFill>
              <a:latin typeface="Aptos Display (Headings)"/>
            </a:rPr>
            <a:t>$2,865,924</a:t>
          </a:fld>
          <a:endParaRPr lang="en-US" sz="1800" b="1">
            <a:solidFill>
              <a:schemeClr val="bg1"/>
            </a:solidFill>
            <a:latin typeface="Aptos Display (Headings)"/>
          </a:endParaRPr>
        </a:p>
      </xdr:txBody>
    </xdr:sp>
    <xdr:clientData/>
  </xdr:twoCellAnchor>
  <xdr:twoCellAnchor>
    <xdr:from>
      <xdr:col>4</xdr:col>
      <xdr:colOff>415925</xdr:colOff>
      <xdr:row>23</xdr:row>
      <xdr:rowOff>79375</xdr:rowOff>
    </xdr:from>
    <xdr:to>
      <xdr:col>6</xdr:col>
      <xdr:colOff>352425</xdr:colOff>
      <xdr:row>25</xdr:row>
      <xdr:rowOff>155575</xdr:rowOff>
    </xdr:to>
    <xdr:sp macro="" textlink="water_analysis!$F$12">
      <xdr:nvSpPr>
        <xdr:cNvPr id="51" name="TextBox 50">
          <a:extLst>
            <a:ext uri="{FF2B5EF4-FFF2-40B4-BE49-F238E27FC236}">
              <a16:creationId xmlns:a16="http://schemas.microsoft.com/office/drawing/2014/main" id="{6851AD65-65AE-4943-B85A-96E144E5ED9E}"/>
            </a:ext>
          </a:extLst>
        </xdr:cNvPr>
        <xdr:cNvSpPr txBox="1"/>
      </xdr:nvSpPr>
      <xdr:spPr>
        <a:xfrm>
          <a:off x="2854325" y="4460875"/>
          <a:ext cx="11557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889B38-54D9-4EAA-BAC8-70CE33B8E519}" type="TxLink">
            <a:rPr lang="en-US" sz="1400" b="1" i="0" u="none" strike="noStrike">
              <a:solidFill>
                <a:schemeClr val="bg1"/>
              </a:solidFill>
              <a:latin typeface="Aptos Display (Headings)"/>
            </a:rPr>
            <a:t>$3,042,822</a:t>
          </a:fld>
          <a:endParaRPr lang="en-US" sz="1800" b="1">
            <a:solidFill>
              <a:schemeClr val="bg1"/>
            </a:solidFill>
            <a:latin typeface="Aptos Display (Headings)"/>
          </a:endParaRPr>
        </a:p>
      </xdr:txBody>
    </xdr:sp>
    <xdr:clientData/>
  </xdr:twoCellAnchor>
  <xdr:twoCellAnchor>
    <xdr:from>
      <xdr:col>6</xdr:col>
      <xdr:colOff>338137</xdr:colOff>
      <xdr:row>29</xdr:row>
      <xdr:rowOff>180975</xdr:rowOff>
    </xdr:from>
    <xdr:to>
      <xdr:col>8</xdr:col>
      <xdr:colOff>214312</xdr:colOff>
      <xdr:row>32</xdr:row>
      <xdr:rowOff>66675</xdr:rowOff>
    </xdr:to>
    <xdr:sp macro="" textlink="">
      <xdr:nvSpPr>
        <xdr:cNvPr id="52" name="TextBox 51">
          <a:extLst>
            <a:ext uri="{FF2B5EF4-FFF2-40B4-BE49-F238E27FC236}">
              <a16:creationId xmlns:a16="http://schemas.microsoft.com/office/drawing/2014/main" id="{E50DD119-779D-42D6-ADB7-494E640DAFBE}"/>
            </a:ext>
          </a:extLst>
        </xdr:cNvPr>
        <xdr:cNvSpPr txBox="1"/>
      </xdr:nvSpPr>
      <xdr:spPr>
        <a:xfrm>
          <a:off x="3995737" y="57054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ExtraBold" panose="020B0004020202020204" pitchFamily="34" charset="0"/>
            </a:rPr>
            <a:t>2016</a:t>
          </a:r>
        </a:p>
      </xdr:txBody>
    </xdr:sp>
    <xdr:clientData/>
  </xdr:twoCellAnchor>
  <xdr:twoCellAnchor>
    <xdr:from>
      <xdr:col>6</xdr:col>
      <xdr:colOff>338137</xdr:colOff>
      <xdr:row>32</xdr:row>
      <xdr:rowOff>79375</xdr:rowOff>
    </xdr:from>
    <xdr:to>
      <xdr:col>8</xdr:col>
      <xdr:colOff>214312</xdr:colOff>
      <xdr:row>34</xdr:row>
      <xdr:rowOff>155575</xdr:rowOff>
    </xdr:to>
    <xdr:sp macro="" textlink="">
      <xdr:nvSpPr>
        <xdr:cNvPr id="53" name="TextBox 52">
          <a:extLst>
            <a:ext uri="{FF2B5EF4-FFF2-40B4-BE49-F238E27FC236}">
              <a16:creationId xmlns:a16="http://schemas.microsoft.com/office/drawing/2014/main" id="{7EC52E69-367D-44D4-BF88-CDAA0DB42549}"/>
            </a:ext>
          </a:extLst>
        </xdr:cNvPr>
        <xdr:cNvSpPr txBox="1"/>
      </xdr:nvSpPr>
      <xdr:spPr>
        <a:xfrm>
          <a:off x="3995737" y="61753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ExtraBold" panose="020B0004020202020204" pitchFamily="34" charset="0"/>
            </a:rPr>
            <a:t>2017</a:t>
          </a:r>
        </a:p>
      </xdr:txBody>
    </xdr:sp>
    <xdr:clientData/>
  </xdr:twoCellAnchor>
  <xdr:twoCellAnchor>
    <xdr:from>
      <xdr:col>6</xdr:col>
      <xdr:colOff>338137</xdr:colOff>
      <xdr:row>34</xdr:row>
      <xdr:rowOff>168275</xdr:rowOff>
    </xdr:from>
    <xdr:to>
      <xdr:col>8</xdr:col>
      <xdr:colOff>214312</xdr:colOff>
      <xdr:row>37</xdr:row>
      <xdr:rowOff>53975</xdr:rowOff>
    </xdr:to>
    <xdr:sp macro="" textlink="">
      <xdr:nvSpPr>
        <xdr:cNvPr id="54" name="TextBox 53">
          <a:extLst>
            <a:ext uri="{FF2B5EF4-FFF2-40B4-BE49-F238E27FC236}">
              <a16:creationId xmlns:a16="http://schemas.microsoft.com/office/drawing/2014/main" id="{AD551AAF-D1DC-4EA2-A9B3-B8E9BD8DDB84}"/>
            </a:ext>
          </a:extLst>
        </xdr:cNvPr>
        <xdr:cNvSpPr txBox="1"/>
      </xdr:nvSpPr>
      <xdr:spPr>
        <a:xfrm>
          <a:off x="3995737" y="66452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ExtraBold" panose="020B0004020202020204" pitchFamily="34" charset="0"/>
            </a:rPr>
            <a:t>2018</a:t>
          </a:r>
        </a:p>
      </xdr:txBody>
    </xdr:sp>
    <xdr:clientData/>
  </xdr:twoCellAnchor>
  <xdr:twoCellAnchor>
    <xdr:from>
      <xdr:col>6</xdr:col>
      <xdr:colOff>338137</xdr:colOff>
      <xdr:row>37</xdr:row>
      <xdr:rowOff>66675</xdr:rowOff>
    </xdr:from>
    <xdr:to>
      <xdr:col>8</xdr:col>
      <xdr:colOff>214312</xdr:colOff>
      <xdr:row>39</xdr:row>
      <xdr:rowOff>142875</xdr:rowOff>
    </xdr:to>
    <xdr:sp macro="" textlink="">
      <xdr:nvSpPr>
        <xdr:cNvPr id="55" name="TextBox 54">
          <a:extLst>
            <a:ext uri="{FF2B5EF4-FFF2-40B4-BE49-F238E27FC236}">
              <a16:creationId xmlns:a16="http://schemas.microsoft.com/office/drawing/2014/main" id="{B842D34C-C12C-427A-8E79-E5771FFEA149}"/>
            </a:ext>
          </a:extLst>
        </xdr:cNvPr>
        <xdr:cNvSpPr txBox="1"/>
      </xdr:nvSpPr>
      <xdr:spPr>
        <a:xfrm>
          <a:off x="3995737" y="71151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ExtraBold" panose="020B0004020202020204" pitchFamily="34" charset="0"/>
            </a:rPr>
            <a:t>2019</a:t>
          </a:r>
        </a:p>
      </xdr:txBody>
    </xdr:sp>
    <xdr:clientData/>
  </xdr:twoCellAnchor>
  <xdr:twoCellAnchor>
    <xdr:from>
      <xdr:col>4</xdr:col>
      <xdr:colOff>406399</xdr:colOff>
      <xdr:row>29</xdr:row>
      <xdr:rowOff>174625</xdr:rowOff>
    </xdr:from>
    <xdr:to>
      <xdr:col>6</xdr:col>
      <xdr:colOff>352425</xdr:colOff>
      <xdr:row>32</xdr:row>
      <xdr:rowOff>60325</xdr:rowOff>
    </xdr:to>
    <xdr:sp macro="" textlink="water_analysis!$C$9">
      <xdr:nvSpPr>
        <xdr:cNvPr id="56" name="TextBox 55">
          <a:extLst>
            <a:ext uri="{FF2B5EF4-FFF2-40B4-BE49-F238E27FC236}">
              <a16:creationId xmlns:a16="http://schemas.microsoft.com/office/drawing/2014/main" id="{85318580-638C-4070-84E8-107FF0403676}"/>
            </a:ext>
          </a:extLst>
        </xdr:cNvPr>
        <xdr:cNvSpPr txBox="1"/>
      </xdr:nvSpPr>
      <xdr:spPr>
        <a:xfrm>
          <a:off x="2844799" y="5699125"/>
          <a:ext cx="116522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DD1832-2E7B-4531-9CAC-061E9BDD7341}" type="TxLink">
            <a:rPr lang="en-US" sz="1200" b="1" i="0" u="none" strike="noStrike">
              <a:solidFill>
                <a:schemeClr val="bg1"/>
              </a:solidFill>
              <a:latin typeface="Aptos Display (Headings)"/>
            </a:rPr>
            <a:t>45,186,526 m³</a:t>
          </a:fld>
          <a:endParaRPr lang="en-US" sz="1200" b="1">
            <a:solidFill>
              <a:schemeClr val="bg1"/>
            </a:solidFill>
            <a:latin typeface="Aptos Display (Headings)"/>
          </a:endParaRPr>
        </a:p>
      </xdr:txBody>
    </xdr:sp>
    <xdr:clientData/>
  </xdr:twoCellAnchor>
  <xdr:twoCellAnchor>
    <xdr:from>
      <xdr:col>4</xdr:col>
      <xdr:colOff>406399</xdr:colOff>
      <xdr:row>32</xdr:row>
      <xdr:rowOff>73025</xdr:rowOff>
    </xdr:from>
    <xdr:to>
      <xdr:col>6</xdr:col>
      <xdr:colOff>352425</xdr:colOff>
      <xdr:row>34</xdr:row>
      <xdr:rowOff>149225</xdr:rowOff>
    </xdr:to>
    <xdr:sp macro="" textlink="water_analysis!$C$10">
      <xdr:nvSpPr>
        <xdr:cNvPr id="57" name="TextBox 56">
          <a:extLst>
            <a:ext uri="{FF2B5EF4-FFF2-40B4-BE49-F238E27FC236}">
              <a16:creationId xmlns:a16="http://schemas.microsoft.com/office/drawing/2014/main" id="{78EFB0F1-6ABB-46EE-8020-841C2CFEEB7C}"/>
            </a:ext>
          </a:extLst>
        </xdr:cNvPr>
        <xdr:cNvSpPr txBox="1"/>
      </xdr:nvSpPr>
      <xdr:spPr>
        <a:xfrm>
          <a:off x="2844799" y="6169025"/>
          <a:ext cx="116522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15E8B4-5DDD-45E0-9BB1-23CB2E89F525}" type="TxLink">
            <a:rPr lang="en-US" sz="1200" b="1" i="0" u="none" strike="noStrike">
              <a:solidFill>
                <a:schemeClr val="bg1"/>
              </a:solidFill>
              <a:latin typeface="Aptos Display (Headings)"/>
            </a:rPr>
            <a:t>47,965,802 m³</a:t>
          </a:fld>
          <a:endParaRPr lang="en-US" sz="1800" b="1">
            <a:solidFill>
              <a:schemeClr val="bg1"/>
            </a:solidFill>
            <a:latin typeface="Aptos Display (Headings)"/>
          </a:endParaRPr>
        </a:p>
      </xdr:txBody>
    </xdr:sp>
    <xdr:clientData/>
  </xdr:twoCellAnchor>
  <xdr:twoCellAnchor>
    <xdr:from>
      <xdr:col>4</xdr:col>
      <xdr:colOff>406399</xdr:colOff>
      <xdr:row>34</xdr:row>
      <xdr:rowOff>161925</xdr:rowOff>
    </xdr:from>
    <xdr:to>
      <xdr:col>6</xdr:col>
      <xdr:colOff>342900</xdr:colOff>
      <xdr:row>37</xdr:row>
      <xdr:rowOff>47625</xdr:rowOff>
    </xdr:to>
    <xdr:sp macro="" textlink="water_analysis!$C$11">
      <xdr:nvSpPr>
        <xdr:cNvPr id="58" name="TextBox 57">
          <a:extLst>
            <a:ext uri="{FF2B5EF4-FFF2-40B4-BE49-F238E27FC236}">
              <a16:creationId xmlns:a16="http://schemas.microsoft.com/office/drawing/2014/main" id="{ECDD9D52-B192-446D-9EFA-538DC2D8144D}"/>
            </a:ext>
          </a:extLst>
        </xdr:cNvPr>
        <xdr:cNvSpPr txBox="1"/>
      </xdr:nvSpPr>
      <xdr:spPr>
        <a:xfrm>
          <a:off x="2844799" y="6638925"/>
          <a:ext cx="115570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ECDB90-9446-4230-80DE-337202C47C60}" type="TxLink">
            <a:rPr lang="en-US" sz="1200" b="1" i="0" u="none" strike="noStrike">
              <a:solidFill>
                <a:schemeClr val="bg1"/>
              </a:solidFill>
              <a:latin typeface="Aptos Display (Headings)"/>
            </a:rPr>
            <a:t>47,370,649 m³</a:t>
          </a:fld>
          <a:endParaRPr lang="en-US" sz="1800" b="1">
            <a:solidFill>
              <a:schemeClr val="bg1"/>
            </a:solidFill>
            <a:latin typeface="Aptos Display (Headings)"/>
          </a:endParaRPr>
        </a:p>
      </xdr:txBody>
    </xdr:sp>
    <xdr:clientData/>
  </xdr:twoCellAnchor>
  <xdr:twoCellAnchor>
    <xdr:from>
      <xdr:col>4</xdr:col>
      <xdr:colOff>406399</xdr:colOff>
      <xdr:row>37</xdr:row>
      <xdr:rowOff>60325</xdr:rowOff>
    </xdr:from>
    <xdr:to>
      <xdr:col>6</xdr:col>
      <xdr:colOff>390525</xdr:colOff>
      <xdr:row>39</xdr:row>
      <xdr:rowOff>136525</xdr:rowOff>
    </xdr:to>
    <xdr:sp macro="" textlink="water_analysis!$C$12">
      <xdr:nvSpPr>
        <xdr:cNvPr id="59" name="TextBox 58">
          <a:extLst>
            <a:ext uri="{FF2B5EF4-FFF2-40B4-BE49-F238E27FC236}">
              <a16:creationId xmlns:a16="http://schemas.microsoft.com/office/drawing/2014/main" id="{FB4A959B-8983-474B-A6BC-1476228099CA}"/>
            </a:ext>
          </a:extLst>
        </xdr:cNvPr>
        <xdr:cNvSpPr txBox="1"/>
      </xdr:nvSpPr>
      <xdr:spPr>
        <a:xfrm>
          <a:off x="2844799" y="7108825"/>
          <a:ext cx="120332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EE792A-CF46-46A8-A593-AB36758D552E}" type="TxLink">
            <a:rPr lang="en-US" sz="1200" b="1" i="0" u="none" strike="noStrike">
              <a:solidFill>
                <a:schemeClr val="bg1"/>
              </a:solidFill>
              <a:latin typeface="Aptos Display (Headings)"/>
            </a:rPr>
            <a:t>45,722,350 m³</a:t>
          </a:fld>
          <a:endParaRPr lang="en-US" sz="1800" b="1">
            <a:solidFill>
              <a:schemeClr val="bg1"/>
            </a:solidFill>
            <a:latin typeface="Aptos Display (Headings)"/>
          </a:endParaRPr>
        </a:p>
      </xdr:txBody>
    </xdr:sp>
    <xdr:clientData/>
  </xdr:twoCellAnchor>
  <xdr:twoCellAnchor>
    <xdr:from>
      <xdr:col>4</xdr:col>
      <xdr:colOff>371475</xdr:colOff>
      <xdr:row>13</xdr:row>
      <xdr:rowOff>133349</xdr:rowOff>
    </xdr:from>
    <xdr:to>
      <xdr:col>8</xdr:col>
      <xdr:colOff>190500</xdr:colOff>
      <xdr:row>15</xdr:row>
      <xdr:rowOff>117474</xdr:rowOff>
    </xdr:to>
    <xdr:sp macro="" textlink="">
      <xdr:nvSpPr>
        <xdr:cNvPr id="62" name="TextBox 61">
          <a:extLst>
            <a:ext uri="{FF2B5EF4-FFF2-40B4-BE49-F238E27FC236}">
              <a16:creationId xmlns:a16="http://schemas.microsoft.com/office/drawing/2014/main" id="{056C5A3B-671D-4B00-B665-B1857EB2BC3B}"/>
            </a:ext>
          </a:extLst>
        </xdr:cNvPr>
        <xdr:cNvSpPr txBox="1"/>
      </xdr:nvSpPr>
      <xdr:spPr>
        <a:xfrm>
          <a:off x="2809875" y="2609849"/>
          <a:ext cx="22574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Financial</a:t>
          </a:r>
          <a:r>
            <a:rPr lang="en-US" sz="1400" b="1" baseline="0">
              <a:solidFill>
                <a:schemeClr val="bg1"/>
              </a:solidFill>
              <a:latin typeface="Constantia" panose="02030602050306030303" pitchFamily="18" charset="0"/>
            </a:rPr>
            <a:t> Outflow</a:t>
          </a:r>
          <a:endParaRPr lang="en-US" sz="1400" b="1">
            <a:solidFill>
              <a:schemeClr val="bg1"/>
            </a:solidFill>
            <a:latin typeface="Constantia" panose="02030602050306030303" pitchFamily="18" charset="0"/>
          </a:endParaRPr>
        </a:p>
      </xdr:txBody>
    </xdr:sp>
    <xdr:clientData/>
  </xdr:twoCellAnchor>
  <xdr:twoCellAnchor>
    <xdr:from>
      <xdr:col>4</xdr:col>
      <xdr:colOff>285750</xdr:colOff>
      <xdr:row>27</xdr:row>
      <xdr:rowOff>95249</xdr:rowOff>
    </xdr:from>
    <xdr:to>
      <xdr:col>8</xdr:col>
      <xdr:colOff>219075</xdr:colOff>
      <xdr:row>29</xdr:row>
      <xdr:rowOff>79374</xdr:rowOff>
    </xdr:to>
    <xdr:sp macro="" textlink="">
      <xdr:nvSpPr>
        <xdr:cNvPr id="63" name="TextBox 62">
          <a:extLst>
            <a:ext uri="{FF2B5EF4-FFF2-40B4-BE49-F238E27FC236}">
              <a16:creationId xmlns:a16="http://schemas.microsoft.com/office/drawing/2014/main" id="{B98B35B4-83F0-4264-B2F5-214E9DA35343}"/>
            </a:ext>
          </a:extLst>
        </xdr:cNvPr>
        <xdr:cNvSpPr txBox="1"/>
      </xdr:nvSpPr>
      <xdr:spPr>
        <a:xfrm>
          <a:off x="2724150" y="5238749"/>
          <a:ext cx="23717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onstantia" panose="02030602050306030303" pitchFamily="18" charset="0"/>
            </a:rPr>
            <a:t>Yearly Hydration Share</a:t>
          </a:r>
        </a:p>
      </xdr:txBody>
    </xdr:sp>
    <xdr:clientData/>
  </xdr:twoCellAnchor>
  <xdr:twoCellAnchor editAs="oneCell">
    <xdr:from>
      <xdr:col>7</xdr:col>
      <xdr:colOff>514350</xdr:colOff>
      <xdr:row>8</xdr:row>
      <xdr:rowOff>19050</xdr:rowOff>
    </xdr:from>
    <xdr:to>
      <xdr:col>8</xdr:col>
      <xdr:colOff>453390</xdr:colOff>
      <xdr:row>10</xdr:row>
      <xdr:rowOff>186690</xdr:rowOff>
    </xdr:to>
    <xdr:pic>
      <xdr:nvPicPr>
        <xdr:cNvPr id="71" name="Graphic 70" descr="Dollar with solid fill">
          <a:extLst>
            <a:ext uri="{FF2B5EF4-FFF2-40B4-BE49-F238E27FC236}">
              <a16:creationId xmlns:a16="http://schemas.microsoft.com/office/drawing/2014/main" id="{7E863D40-B0DF-4509-AB06-9A47BAB9E5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81550" y="1543050"/>
          <a:ext cx="548640" cy="548640"/>
        </a:xfrm>
        <a:prstGeom prst="rect">
          <a:avLst/>
        </a:prstGeom>
      </xdr:spPr>
    </xdr:pic>
    <xdr:clientData/>
  </xdr:twoCellAnchor>
  <xdr:twoCellAnchor editAs="oneCell">
    <xdr:from>
      <xdr:col>0</xdr:col>
      <xdr:colOff>119025</xdr:colOff>
      <xdr:row>8</xdr:row>
      <xdr:rowOff>71400</xdr:rowOff>
    </xdr:from>
    <xdr:to>
      <xdr:col>1</xdr:col>
      <xdr:colOff>295275</xdr:colOff>
      <xdr:row>12</xdr:row>
      <xdr:rowOff>95250</xdr:rowOff>
    </xdr:to>
    <xdr:pic>
      <xdr:nvPicPr>
        <xdr:cNvPr id="72" name="Graphic 71" descr="Building with solid fill">
          <a:extLst>
            <a:ext uri="{FF2B5EF4-FFF2-40B4-BE49-F238E27FC236}">
              <a16:creationId xmlns:a16="http://schemas.microsoft.com/office/drawing/2014/main" id="{6E1E056E-B879-43C2-974E-DD35F83080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025" y="1595400"/>
          <a:ext cx="785850" cy="785850"/>
        </a:xfrm>
        <a:prstGeom prst="rect">
          <a:avLst/>
        </a:prstGeom>
      </xdr:spPr>
    </xdr:pic>
    <xdr:clientData/>
  </xdr:twoCellAnchor>
  <xdr:twoCellAnchor>
    <xdr:from>
      <xdr:col>1</xdr:col>
      <xdr:colOff>127789</xdr:colOff>
      <xdr:row>8</xdr:row>
      <xdr:rowOff>52388</xdr:rowOff>
    </xdr:from>
    <xdr:to>
      <xdr:col>2</xdr:col>
      <xdr:colOff>511964</xdr:colOff>
      <xdr:row>9</xdr:row>
      <xdr:rowOff>131763</xdr:rowOff>
    </xdr:to>
    <xdr:sp macro="" textlink="">
      <xdr:nvSpPr>
        <xdr:cNvPr id="73" name="TextBox 72">
          <a:extLst>
            <a:ext uri="{FF2B5EF4-FFF2-40B4-BE49-F238E27FC236}">
              <a16:creationId xmlns:a16="http://schemas.microsoft.com/office/drawing/2014/main" id="{335A4EA2-02A3-4C0E-909A-495C88AAE770}"/>
            </a:ext>
          </a:extLst>
        </xdr:cNvPr>
        <xdr:cNvSpPr txBox="1"/>
      </xdr:nvSpPr>
      <xdr:spPr>
        <a:xfrm>
          <a:off x="737389" y="1576388"/>
          <a:ext cx="9937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onstantia" panose="02030602050306030303" pitchFamily="18" charset="0"/>
            </a:rPr>
            <a:t>Buildings</a:t>
          </a:r>
        </a:p>
      </xdr:txBody>
    </xdr:sp>
    <xdr:clientData/>
  </xdr:twoCellAnchor>
  <xdr:twoCellAnchor>
    <xdr:from>
      <xdr:col>3</xdr:col>
      <xdr:colOff>111009</xdr:colOff>
      <xdr:row>8</xdr:row>
      <xdr:rowOff>52388</xdr:rowOff>
    </xdr:from>
    <xdr:to>
      <xdr:col>5</xdr:col>
      <xdr:colOff>95251</xdr:colOff>
      <xdr:row>9</xdr:row>
      <xdr:rowOff>131763</xdr:rowOff>
    </xdr:to>
    <xdr:sp macro="" textlink="">
      <xdr:nvSpPr>
        <xdr:cNvPr id="74" name="TextBox 73">
          <a:extLst>
            <a:ext uri="{FF2B5EF4-FFF2-40B4-BE49-F238E27FC236}">
              <a16:creationId xmlns:a16="http://schemas.microsoft.com/office/drawing/2014/main" id="{E075D0CA-BBA2-4781-890F-AC88B207AC24}"/>
            </a:ext>
          </a:extLst>
        </xdr:cNvPr>
        <xdr:cNvSpPr txBox="1"/>
      </xdr:nvSpPr>
      <xdr:spPr>
        <a:xfrm>
          <a:off x="1939809" y="1576388"/>
          <a:ext cx="1203442"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onstantia" panose="02030602050306030303" pitchFamily="18" charset="0"/>
            </a:rPr>
            <a:t>Consumption</a:t>
          </a:r>
        </a:p>
      </xdr:txBody>
    </xdr:sp>
    <xdr:clientData/>
  </xdr:twoCellAnchor>
  <xdr:twoCellAnchor>
    <xdr:from>
      <xdr:col>6</xdr:col>
      <xdr:colOff>400052</xdr:colOff>
      <xdr:row>8</xdr:row>
      <xdr:rowOff>52388</xdr:rowOff>
    </xdr:from>
    <xdr:to>
      <xdr:col>7</xdr:col>
      <xdr:colOff>485776</xdr:colOff>
      <xdr:row>9</xdr:row>
      <xdr:rowOff>131763</xdr:rowOff>
    </xdr:to>
    <xdr:sp macro="" textlink="">
      <xdr:nvSpPr>
        <xdr:cNvPr id="75" name="TextBox 74">
          <a:extLst>
            <a:ext uri="{FF2B5EF4-FFF2-40B4-BE49-F238E27FC236}">
              <a16:creationId xmlns:a16="http://schemas.microsoft.com/office/drawing/2014/main" id="{EFCB4444-FF62-48D8-A18A-04CECF959508}"/>
            </a:ext>
          </a:extLst>
        </xdr:cNvPr>
        <xdr:cNvSpPr txBox="1"/>
      </xdr:nvSpPr>
      <xdr:spPr>
        <a:xfrm>
          <a:off x="4057652" y="1576388"/>
          <a:ext cx="695324"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onstantia" panose="02030602050306030303" pitchFamily="18" charset="0"/>
            </a:rPr>
            <a:t>Bills</a:t>
          </a:r>
        </a:p>
      </xdr:txBody>
    </xdr:sp>
    <xdr:clientData/>
  </xdr:twoCellAnchor>
  <xdr:twoCellAnchor>
    <xdr:from>
      <xdr:col>1</xdr:col>
      <xdr:colOff>94451</xdr:colOff>
      <xdr:row>10</xdr:row>
      <xdr:rowOff>85726</xdr:rowOff>
    </xdr:from>
    <xdr:to>
      <xdr:col>2</xdr:col>
      <xdr:colOff>545301</xdr:colOff>
      <xdr:row>12</xdr:row>
      <xdr:rowOff>85726</xdr:rowOff>
    </xdr:to>
    <xdr:sp macro="" textlink="water_analysis!$A$5">
      <xdr:nvSpPr>
        <xdr:cNvPr id="76" name="TextBox 75">
          <a:extLst>
            <a:ext uri="{FF2B5EF4-FFF2-40B4-BE49-F238E27FC236}">
              <a16:creationId xmlns:a16="http://schemas.microsoft.com/office/drawing/2014/main" id="{3052CCD7-C636-4368-8B3B-A4651063157A}"/>
            </a:ext>
          </a:extLst>
        </xdr:cNvPr>
        <xdr:cNvSpPr txBox="1"/>
      </xdr:nvSpPr>
      <xdr:spPr>
        <a:xfrm>
          <a:off x="704051" y="1990726"/>
          <a:ext cx="10604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C14499-E596-45BE-8879-4E998FF89DDD}" type="TxLink">
            <a:rPr lang="en-US" sz="2000" b="1" i="0" u="none" strike="noStrike">
              <a:solidFill>
                <a:srgbClr val="000000"/>
              </a:solidFill>
              <a:latin typeface="Aptos Narrow"/>
            </a:rPr>
            <a:t>11</a:t>
          </a:fld>
          <a:endParaRPr lang="en-US" sz="2000" b="1">
            <a:latin typeface="Constantia" panose="02030602050306030303" pitchFamily="18" charset="0"/>
          </a:endParaRPr>
        </a:p>
      </xdr:txBody>
    </xdr:sp>
    <xdr:clientData/>
  </xdr:twoCellAnchor>
  <xdr:twoCellAnchor>
    <xdr:from>
      <xdr:col>3</xdr:col>
      <xdr:colOff>152400</xdr:colOff>
      <xdr:row>10</xdr:row>
      <xdr:rowOff>38100</xdr:rowOff>
    </xdr:from>
    <xdr:to>
      <xdr:col>5</xdr:col>
      <xdr:colOff>523875</xdr:colOff>
      <xdr:row>11</xdr:row>
      <xdr:rowOff>117475</xdr:rowOff>
    </xdr:to>
    <xdr:sp macro="" textlink="water_analysis!$C$5">
      <xdr:nvSpPr>
        <xdr:cNvPr id="77" name="TextBox 76">
          <a:extLst>
            <a:ext uri="{FF2B5EF4-FFF2-40B4-BE49-F238E27FC236}">
              <a16:creationId xmlns:a16="http://schemas.microsoft.com/office/drawing/2014/main" id="{6B20A116-FBBD-4615-A68B-DCCA6A3855C4}"/>
            </a:ext>
          </a:extLst>
        </xdr:cNvPr>
        <xdr:cNvSpPr txBox="1"/>
      </xdr:nvSpPr>
      <xdr:spPr>
        <a:xfrm>
          <a:off x="1981200" y="1943100"/>
          <a:ext cx="15906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BEAE784-7341-4CE5-A434-E5B3A69B0F22}" type="TxLink">
            <a:rPr lang="en-US" sz="1200" b="1" i="0" u="none" strike="noStrike">
              <a:solidFill>
                <a:srgbClr val="000000"/>
              </a:solidFill>
              <a:latin typeface="Aptos Narrow"/>
            </a:rPr>
            <a:t>Total: 186.25M m³</a:t>
          </a:fld>
          <a:endParaRPr lang="en-US" sz="1800" b="1">
            <a:latin typeface="Constantia" panose="02030602050306030303" pitchFamily="18" charset="0"/>
          </a:endParaRPr>
        </a:p>
      </xdr:txBody>
    </xdr:sp>
    <xdr:clientData/>
  </xdr:twoCellAnchor>
  <xdr:twoCellAnchor>
    <xdr:from>
      <xdr:col>6</xdr:col>
      <xdr:colOff>123826</xdr:colOff>
      <xdr:row>10</xdr:row>
      <xdr:rowOff>38100</xdr:rowOff>
    </xdr:from>
    <xdr:to>
      <xdr:col>8</xdr:col>
      <xdr:colOff>104775</xdr:colOff>
      <xdr:row>11</xdr:row>
      <xdr:rowOff>117475</xdr:rowOff>
    </xdr:to>
    <xdr:sp macro="" textlink="water_analysis!$F$5">
      <xdr:nvSpPr>
        <xdr:cNvPr id="78" name="TextBox 77">
          <a:extLst>
            <a:ext uri="{FF2B5EF4-FFF2-40B4-BE49-F238E27FC236}">
              <a16:creationId xmlns:a16="http://schemas.microsoft.com/office/drawing/2014/main" id="{9EED9262-AFB2-412B-9016-5F196243DE29}"/>
            </a:ext>
          </a:extLst>
        </xdr:cNvPr>
        <xdr:cNvSpPr txBox="1"/>
      </xdr:nvSpPr>
      <xdr:spPr>
        <a:xfrm>
          <a:off x="3781426" y="1943100"/>
          <a:ext cx="120014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684413F-6148-43E7-BC50-94494564EB13}" type="TxLink">
            <a:rPr lang="en-US" sz="1200" b="1" i="0" u="none" strike="noStrike">
              <a:solidFill>
                <a:srgbClr val="000000"/>
              </a:solidFill>
              <a:latin typeface="Aptos Narrow"/>
            </a:rPr>
            <a:t>Total: $10.81M</a:t>
          </a:fld>
          <a:endParaRPr lang="en-US" sz="1800" b="1">
            <a:latin typeface="Constantia" panose="02030602050306030303" pitchFamily="18" charset="0"/>
          </a:endParaRPr>
        </a:p>
      </xdr:txBody>
    </xdr:sp>
    <xdr:clientData/>
  </xdr:twoCellAnchor>
  <xdr:twoCellAnchor>
    <xdr:from>
      <xdr:col>6</xdr:col>
      <xdr:colOff>123826</xdr:colOff>
      <xdr:row>11</xdr:row>
      <xdr:rowOff>85725</xdr:rowOff>
    </xdr:from>
    <xdr:to>
      <xdr:col>8</xdr:col>
      <xdr:colOff>457200</xdr:colOff>
      <xdr:row>12</xdr:row>
      <xdr:rowOff>165100</xdr:rowOff>
    </xdr:to>
    <xdr:sp macro="" textlink="water_analysis!$L$5">
      <xdr:nvSpPr>
        <xdr:cNvPr id="79" name="TextBox 78">
          <a:extLst>
            <a:ext uri="{FF2B5EF4-FFF2-40B4-BE49-F238E27FC236}">
              <a16:creationId xmlns:a16="http://schemas.microsoft.com/office/drawing/2014/main" id="{171B6F97-1629-4BF9-9837-684209C3161E}"/>
            </a:ext>
          </a:extLst>
        </xdr:cNvPr>
        <xdr:cNvSpPr txBox="1"/>
      </xdr:nvSpPr>
      <xdr:spPr>
        <a:xfrm>
          <a:off x="3781426" y="2181225"/>
          <a:ext cx="1552574"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5AA91EB-A5C4-4F54-8F83-1277367FC0DA}" type="TxLink">
            <a:rPr lang="en-US" sz="1100" b="1" i="0" u="none" strike="noStrike">
              <a:solidFill>
                <a:schemeClr val="tx1">
                  <a:lumMod val="75000"/>
                  <a:lumOff val="25000"/>
                </a:schemeClr>
              </a:solidFill>
              <a:latin typeface="Aptos Narrow"/>
            </a:rPr>
            <a:t>Avg: $20.47K</a:t>
          </a:fld>
          <a:endParaRPr lang="en-US" sz="1400" b="1">
            <a:solidFill>
              <a:schemeClr val="tx1">
                <a:lumMod val="75000"/>
                <a:lumOff val="25000"/>
              </a:schemeClr>
            </a:solidFill>
            <a:latin typeface="Constantia" panose="02030602050306030303" pitchFamily="18" charset="0"/>
          </a:endParaRPr>
        </a:p>
      </xdr:txBody>
    </xdr:sp>
    <xdr:clientData/>
  </xdr:twoCellAnchor>
  <xdr:twoCellAnchor>
    <xdr:from>
      <xdr:col>3</xdr:col>
      <xdr:colOff>152400</xdr:colOff>
      <xdr:row>11</xdr:row>
      <xdr:rowOff>114299</xdr:rowOff>
    </xdr:from>
    <xdr:to>
      <xdr:col>5</xdr:col>
      <xdr:colOff>552450</xdr:colOff>
      <xdr:row>12</xdr:row>
      <xdr:rowOff>165100</xdr:rowOff>
    </xdr:to>
    <xdr:sp macro="" textlink="water_analysis!$I$5">
      <xdr:nvSpPr>
        <xdr:cNvPr id="80" name="TextBox 79">
          <a:extLst>
            <a:ext uri="{FF2B5EF4-FFF2-40B4-BE49-F238E27FC236}">
              <a16:creationId xmlns:a16="http://schemas.microsoft.com/office/drawing/2014/main" id="{F1F44296-A908-46F2-8C3E-E60F6609736B}"/>
            </a:ext>
          </a:extLst>
        </xdr:cNvPr>
        <xdr:cNvSpPr txBox="1"/>
      </xdr:nvSpPr>
      <xdr:spPr>
        <a:xfrm>
          <a:off x="1981200" y="2209799"/>
          <a:ext cx="1619250" cy="24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0B5B1B-9F6C-4240-A26B-2D41889638C1}" type="TxLink">
            <a:rPr lang="en-US" sz="1100" b="1" i="0" u="none" strike="noStrike">
              <a:solidFill>
                <a:schemeClr val="tx1">
                  <a:lumMod val="75000"/>
                  <a:lumOff val="25000"/>
                </a:schemeClr>
              </a:solidFill>
              <a:latin typeface="Aptos Narrow"/>
            </a:rPr>
            <a:t>Avg: 352.74  m³</a:t>
          </a:fld>
          <a:endParaRPr lang="en-US" sz="1400" b="1">
            <a:solidFill>
              <a:schemeClr val="tx1">
                <a:lumMod val="75000"/>
                <a:lumOff val="25000"/>
              </a:schemeClr>
            </a:solidFill>
            <a:latin typeface="Constantia" panose="02030602050306030303" pitchFamily="18" charset="0"/>
          </a:endParaRPr>
        </a:p>
      </xdr:txBody>
    </xdr:sp>
    <xdr:clientData/>
  </xdr:twoCellAnchor>
  <xdr:twoCellAnchor editAs="oneCell">
    <xdr:from>
      <xdr:col>4</xdr:col>
      <xdr:colOff>590550</xdr:colOff>
      <xdr:row>8</xdr:row>
      <xdr:rowOff>19050</xdr:rowOff>
    </xdr:from>
    <xdr:to>
      <xdr:col>5</xdr:col>
      <xdr:colOff>529590</xdr:colOff>
      <xdr:row>10</xdr:row>
      <xdr:rowOff>186690</xdr:rowOff>
    </xdr:to>
    <xdr:pic>
      <xdr:nvPicPr>
        <xdr:cNvPr id="81" name="Graphic 80" descr="Gauge with solid fill">
          <a:extLst>
            <a:ext uri="{FF2B5EF4-FFF2-40B4-BE49-F238E27FC236}">
              <a16:creationId xmlns:a16="http://schemas.microsoft.com/office/drawing/2014/main" id="{B6BABD0B-8C23-4E62-98D1-F31EBE5239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28950" y="1543050"/>
          <a:ext cx="548640" cy="548640"/>
        </a:xfrm>
        <a:prstGeom prst="rect">
          <a:avLst/>
        </a:prstGeom>
      </xdr:spPr>
    </xdr:pic>
    <xdr:clientData/>
  </xdr:twoCellAnchor>
  <xdr:twoCellAnchor>
    <xdr:from>
      <xdr:col>19</xdr:col>
      <xdr:colOff>504825</xdr:colOff>
      <xdr:row>3</xdr:row>
      <xdr:rowOff>189308</xdr:rowOff>
    </xdr:from>
    <xdr:to>
      <xdr:col>21</xdr:col>
      <xdr:colOff>304800</xdr:colOff>
      <xdr:row>6</xdr:row>
      <xdr:rowOff>75008</xdr:rowOff>
    </xdr:to>
    <xdr:grpSp>
      <xdr:nvGrpSpPr>
        <xdr:cNvPr id="110" name="Group 109">
          <a:hlinkClick xmlns:r="http://schemas.openxmlformats.org/officeDocument/2006/relationships" r:id="rId7"/>
          <a:extLst>
            <a:ext uri="{FF2B5EF4-FFF2-40B4-BE49-F238E27FC236}">
              <a16:creationId xmlns:a16="http://schemas.microsoft.com/office/drawing/2014/main" id="{CB0A9AEB-1DD4-EA20-FD2A-07FCE74C59A6}"/>
            </a:ext>
          </a:extLst>
        </xdr:cNvPr>
        <xdr:cNvGrpSpPr/>
      </xdr:nvGrpSpPr>
      <xdr:grpSpPr>
        <a:xfrm>
          <a:off x="12087225" y="760808"/>
          <a:ext cx="1019175" cy="457200"/>
          <a:chOff x="12087225" y="766762"/>
          <a:chExt cx="1019175" cy="457200"/>
        </a:xfrm>
      </xdr:grpSpPr>
      <xdr:sp macro="" textlink="">
        <xdr:nvSpPr>
          <xdr:cNvPr id="43" name="Flowchart: Terminator 42">
            <a:extLst>
              <a:ext uri="{FF2B5EF4-FFF2-40B4-BE49-F238E27FC236}">
                <a16:creationId xmlns:a16="http://schemas.microsoft.com/office/drawing/2014/main" id="{EF41E37E-EF5F-433C-940A-781851C39740}"/>
              </a:ext>
            </a:extLst>
          </xdr:cNvPr>
          <xdr:cNvSpPr/>
        </xdr:nvSpPr>
        <xdr:spPr>
          <a:xfrm>
            <a:off x="12087225" y="766762"/>
            <a:ext cx="1019175" cy="457200"/>
          </a:xfrm>
          <a:prstGeom prst="flowChartTerminator">
            <a:avLst/>
          </a:prstGeom>
          <a:solidFill>
            <a:srgbClr val="00B050"/>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6" name="Group 85">
            <a:extLst>
              <a:ext uri="{FF2B5EF4-FFF2-40B4-BE49-F238E27FC236}">
                <a16:creationId xmlns:a16="http://schemas.microsoft.com/office/drawing/2014/main" id="{947154C0-E379-48F4-8DCC-FC1A7BA4F183}"/>
              </a:ext>
            </a:extLst>
          </xdr:cNvPr>
          <xdr:cNvGrpSpPr/>
        </xdr:nvGrpSpPr>
        <xdr:grpSpPr>
          <a:xfrm>
            <a:off x="12368212" y="812482"/>
            <a:ext cx="457200" cy="365760"/>
            <a:chOff x="12087225" y="766762"/>
            <a:chExt cx="857250" cy="781050"/>
          </a:xfrm>
        </xdr:grpSpPr>
        <xdr:pic>
          <xdr:nvPicPr>
            <xdr:cNvPr id="87" name="Graphic 86" descr="Water with solid fill">
              <a:extLst>
                <a:ext uri="{FF2B5EF4-FFF2-40B4-BE49-F238E27FC236}">
                  <a16:creationId xmlns:a16="http://schemas.microsoft.com/office/drawing/2014/main" id="{8E93E0EC-DFE6-26B5-AF67-574B124BE1E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087225" y="766762"/>
              <a:ext cx="857250" cy="781050"/>
            </a:xfrm>
            <a:prstGeom prst="rect">
              <a:avLst/>
            </a:prstGeom>
          </xdr:spPr>
        </xdr:pic>
        <xdr:pic>
          <xdr:nvPicPr>
            <xdr:cNvPr id="88" name="Graphic 87" descr="Fire with solid fill">
              <a:extLst>
                <a:ext uri="{FF2B5EF4-FFF2-40B4-BE49-F238E27FC236}">
                  <a16:creationId xmlns:a16="http://schemas.microsoft.com/office/drawing/2014/main" id="{1988CD85-5F35-9555-5ECB-08B35026CF1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217265" y="911757"/>
              <a:ext cx="609134" cy="554990"/>
            </a:xfrm>
            <a:prstGeom prst="rect">
              <a:avLst/>
            </a:prstGeom>
          </xdr:spPr>
        </xdr:pic>
      </xdr:grpSp>
    </xdr:grpSp>
    <xdr:clientData/>
  </xdr:twoCellAnchor>
  <xdr:twoCellAnchor>
    <xdr:from>
      <xdr:col>15</xdr:col>
      <xdr:colOff>600075</xdr:colOff>
      <xdr:row>3</xdr:row>
      <xdr:rowOff>189308</xdr:rowOff>
    </xdr:from>
    <xdr:to>
      <xdr:col>17</xdr:col>
      <xdr:colOff>400050</xdr:colOff>
      <xdr:row>6</xdr:row>
      <xdr:rowOff>75008</xdr:rowOff>
    </xdr:to>
    <xdr:grpSp>
      <xdr:nvGrpSpPr>
        <xdr:cNvPr id="113" name="Group 112">
          <a:hlinkClick xmlns:r="http://schemas.openxmlformats.org/officeDocument/2006/relationships" r:id="rId12"/>
          <a:extLst>
            <a:ext uri="{FF2B5EF4-FFF2-40B4-BE49-F238E27FC236}">
              <a16:creationId xmlns:a16="http://schemas.microsoft.com/office/drawing/2014/main" id="{F02BF4F1-65CE-E20D-79A8-496E7C3598EA}"/>
            </a:ext>
          </a:extLst>
        </xdr:cNvPr>
        <xdr:cNvGrpSpPr/>
      </xdr:nvGrpSpPr>
      <xdr:grpSpPr>
        <a:xfrm>
          <a:off x="9744075" y="760808"/>
          <a:ext cx="1019175" cy="457200"/>
          <a:chOff x="9744075" y="760808"/>
          <a:chExt cx="1019175" cy="457200"/>
        </a:xfrm>
      </xdr:grpSpPr>
      <xdr:sp macro="" textlink="">
        <xdr:nvSpPr>
          <xdr:cNvPr id="84" name="Flowchart: Terminator 83">
            <a:extLst>
              <a:ext uri="{FF2B5EF4-FFF2-40B4-BE49-F238E27FC236}">
                <a16:creationId xmlns:a16="http://schemas.microsoft.com/office/drawing/2014/main" id="{1FC8358D-CF38-47A6-A855-C01E51D21CE7}"/>
              </a:ext>
            </a:extLst>
          </xdr:cNvPr>
          <xdr:cNvSpPr/>
        </xdr:nvSpPr>
        <xdr:spPr>
          <a:xfrm>
            <a:off x="9744075" y="760808"/>
            <a:ext cx="1019175" cy="457200"/>
          </a:xfrm>
          <a:prstGeom prst="flowChartTerminator">
            <a:avLst/>
          </a:prstGeom>
          <a:solidFill>
            <a:srgbClr val="FFFF00"/>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9" name="Graphic 88" descr="Electric Tower with solid fill">
            <a:extLst>
              <a:ext uri="{FF2B5EF4-FFF2-40B4-BE49-F238E27FC236}">
                <a16:creationId xmlns:a16="http://schemas.microsoft.com/office/drawing/2014/main" id="{11D3DB0D-57BD-4135-94D7-54549280033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089070" y="830770"/>
            <a:ext cx="329184" cy="329184"/>
          </a:xfrm>
          <a:prstGeom prst="rect">
            <a:avLst/>
          </a:prstGeom>
        </xdr:spPr>
      </xdr:pic>
    </xdr:grpSp>
    <xdr:clientData/>
  </xdr:twoCellAnchor>
  <xdr:twoCellAnchor>
    <xdr:from>
      <xdr:col>17</xdr:col>
      <xdr:colOff>552450</xdr:colOff>
      <xdr:row>3</xdr:row>
      <xdr:rowOff>189308</xdr:rowOff>
    </xdr:from>
    <xdr:to>
      <xdr:col>19</xdr:col>
      <xdr:colOff>352425</xdr:colOff>
      <xdr:row>6</xdr:row>
      <xdr:rowOff>75008</xdr:rowOff>
    </xdr:to>
    <xdr:grpSp>
      <xdr:nvGrpSpPr>
        <xdr:cNvPr id="109" name="Group 108">
          <a:hlinkClick xmlns:r="http://schemas.openxmlformats.org/officeDocument/2006/relationships" r:id="rId15"/>
          <a:extLst>
            <a:ext uri="{FF2B5EF4-FFF2-40B4-BE49-F238E27FC236}">
              <a16:creationId xmlns:a16="http://schemas.microsoft.com/office/drawing/2014/main" id="{4CE4DB27-99FB-2CE8-13B3-C9093D74AAEE}"/>
            </a:ext>
          </a:extLst>
        </xdr:cNvPr>
        <xdr:cNvGrpSpPr/>
      </xdr:nvGrpSpPr>
      <xdr:grpSpPr>
        <a:xfrm>
          <a:off x="10915650" y="760808"/>
          <a:ext cx="1019175" cy="457200"/>
          <a:chOff x="10915650" y="754855"/>
          <a:chExt cx="1019175" cy="457200"/>
        </a:xfrm>
      </xdr:grpSpPr>
      <xdr:sp macro="" textlink="">
        <xdr:nvSpPr>
          <xdr:cNvPr id="42" name="Flowchart: Terminator 41">
            <a:extLst>
              <a:ext uri="{FF2B5EF4-FFF2-40B4-BE49-F238E27FC236}">
                <a16:creationId xmlns:a16="http://schemas.microsoft.com/office/drawing/2014/main" id="{62F676B1-2285-45BE-8406-8145D109E9A5}"/>
              </a:ext>
            </a:extLst>
          </xdr:cNvPr>
          <xdr:cNvSpPr/>
        </xdr:nvSpPr>
        <xdr:spPr>
          <a:xfrm>
            <a:off x="10915650" y="754855"/>
            <a:ext cx="1019175" cy="457200"/>
          </a:xfrm>
          <a:prstGeom prst="flowChartTerminator">
            <a:avLst/>
          </a:prstGeom>
          <a:solidFill>
            <a:schemeClr val="tx1">
              <a:lumMod val="75000"/>
              <a:lumOff val="25000"/>
            </a:schemeClr>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 name="Graphic 7" descr="High voltage with solid fill">
            <a:extLst>
              <a:ext uri="{FF2B5EF4-FFF2-40B4-BE49-F238E27FC236}">
                <a16:creationId xmlns:a16="http://schemas.microsoft.com/office/drawing/2014/main" id="{F53FB312-F66C-A701-B19D-5E6447542AF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196637" y="754855"/>
            <a:ext cx="457200" cy="457200"/>
          </a:xfrm>
          <a:prstGeom prst="rect">
            <a:avLst/>
          </a:prstGeom>
        </xdr:spPr>
      </xdr:pic>
    </xdr:grpSp>
    <xdr:clientData/>
  </xdr:twoCellAnchor>
  <xdr:twoCellAnchor>
    <xdr:from>
      <xdr:col>7</xdr:col>
      <xdr:colOff>514348</xdr:colOff>
      <xdr:row>0</xdr:row>
      <xdr:rowOff>161924</xdr:rowOff>
    </xdr:from>
    <xdr:to>
      <xdr:col>9</xdr:col>
      <xdr:colOff>392428</xdr:colOff>
      <xdr:row>6</xdr:row>
      <xdr:rowOff>116204</xdr:rowOff>
    </xdr:to>
    <xdr:grpSp>
      <xdr:nvGrpSpPr>
        <xdr:cNvPr id="91" name="Group 90">
          <a:extLst>
            <a:ext uri="{FF2B5EF4-FFF2-40B4-BE49-F238E27FC236}">
              <a16:creationId xmlns:a16="http://schemas.microsoft.com/office/drawing/2014/main" id="{CA9B2201-C954-434D-B4AA-5D7D8586EF62}"/>
            </a:ext>
          </a:extLst>
        </xdr:cNvPr>
        <xdr:cNvGrpSpPr/>
      </xdr:nvGrpSpPr>
      <xdr:grpSpPr>
        <a:xfrm>
          <a:off x="4781548" y="161924"/>
          <a:ext cx="1097280" cy="1097280"/>
          <a:chOff x="114300" y="209550"/>
          <a:chExt cx="1143000" cy="1162050"/>
        </a:xfrm>
      </xdr:grpSpPr>
      <xdr:sp macro="" textlink="">
        <xdr:nvSpPr>
          <xdr:cNvPr id="92" name="Rectangle: Rounded Corners 91">
            <a:extLst>
              <a:ext uri="{FF2B5EF4-FFF2-40B4-BE49-F238E27FC236}">
                <a16:creationId xmlns:a16="http://schemas.microsoft.com/office/drawing/2014/main" id="{A82255B8-9786-5463-8A4E-34F44F950FBC}"/>
              </a:ext>
            </a:extLst>
          </xdr:cNvPr>
          <xdr:cNvSpPr/>
        </xdr:nvSpPr>
        <xdr:spPr>
          <a:xfrm>
            <a:off x="114300" y="209550"/>
            <a:ext cx="1143000" cy="116205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3" name="Graphic 92" descr="Leaky Tap with solid fill">
            <a:extLst>
              <a:ext uri="{FF2B5EF4-FFF2-40B4-BE49-F238E27FC236}">
                <a16:creationId xmlns:a16="http://schemas.microsoft.com/office/drawing/2014/main" id="{24AF76F0-4334-B7C5-E408-CD4D003E66D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2399" y="247649"/>
            <a:ext cx="1104901" cy="1104901"/>
          </a:xfrm>
          <a:prstGeom prst="rect">
            <a:avLst/>
          </a:prstGeom>
        </xdr:spPr>
      </xdr:pic>
    </xdr:grpSp>
    <xdr:clientData/>
  </xdr:twoCellAnchor>
  <xdr:twoCellAnchor>
    <xdr:from>
      <xdr:col>0</xdr:col>
      <xdr:colOff>171450</xdr:colOff>
      <xdr:row>14</xdr:row>
      <xdr:rowOff>9525</xdr:rowOff>
    </xdr:from>
    <xdr:to>
      <xdr:col>4</xdr:col>
      <xdr:colOff>604266</xdr:colOff>
      <xdr:row>27</xdr:row>
      <xdr:rowOff>184785</xdr:rowOff>
    </xdr:to>
    <xdr:graphicFrame macro="">
      <xdr:nvGraphicFramePr>
        <xdr:cNvPr id="94" name="Chart 93">
          <a:extLst>
            <a:ext uri="{FF2B5EF4-FFF2-40B4-BE49-F238E27FC236}">
              <a16:creationId xmlns:a16="http://schemas.microsoft.com/office/drawing/2014/main" id="{67D3C461-60B1-4555-BDBA-053EB8989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180975</xdr:colOff>
      <xdr:row>27</xdr:row>
      <xdr:rowOff>47625</xdr:rowOff>
    </xdr:from>
    <xdr:to>
      <xdr:col>5</xdr:col>
      <xdr:colOff>22479</xdr:colOff>
      <xdr:row>41</xdr:row>
      <xdr:rowOff>123825</xdr:rowOff>
    </xdr:to>
    <xdr:graphicFrame macro="">
      <xdr:nvGraphicFramePr>
        <xdr:cNvPr id="95" name="Chart 94">
          <a:extLst>
            <a:ext uri="{FF2B5EF4-FFF2-40B4-BE49-F238E27FC236}">
              <a16:creationId xmlns:a16="http://schemas.microsoft.com/office/drawing/2014/main" id="{1EF7A720-AE77-4A41-B705-517DEF418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542407</xdr:colOff>
      <xdr:row>7</xdr:row>
      <xdr:rowOff>142875</xdr:rowOff>
    </xdr:from>
    <xdr:to>
      <xdr:col>19</xdr:col>
      <xdr:colOff>457063</xdr:colOff>
      <xdr:row>16</xdr:row>
      <xdr:rowOff>174879</xdr:rowOff>
    </xdr:to>
    <xdr:graphicFrame macro="">
      <xdr:nvGraphicFramePr>
        <xdr:cNvPr id="98" name="Chart 97">
          <a:extLst>
            <a:ext uri="{FF2B5EF4-FFF2-40B4-BE49-F238E27FC236}">
              <a16:creationId xmlns:a16="http://schemas.microsoft.com/office/drawing/2014/main" id="{7B05DC1D-8CAB-47BB-834E-18F0535F0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19</xdr:col>
      <xdr:colOff>542470</xdr:colOff>
      <xdr:row>7</xdr:row>
      <xdr:rowOff>142875</xdr:rowOff>
    </xdr:from>
    <xdr:to>
      <xdr:col>29</xdr:col>
      <xdr:colOff>6022</xdr:colOff>
      <xdr:row>16</xdr:row>
      <xdr:rowOff>174879</xdr:rowOff>
    </xdr:to>
    <xdr:graphicFrame macro="">
      <xdr:nvGraphicFramePr>
        <xdr:cNvPr id="100" name="Chart 99">
          <a:extLst>
            <a:ext uri="{FF2B5EF4-FFF2-40B4-BE49-F238E27FC236}">
              <a16:creationId xmlns:a16="http://schemas.microsoft.com/office/drawing/2014/main" id="{0A757797-BC98-4321-8822-8712B5A19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561457</xdr:colOff>
      <xdr:row>17</xdr:row>
      <xdr:rowOff>72118</xdr:rowOff>
    </xdr:from>
    <xdr:to>
      <xdr:col>19</xdr:col>
      <xdr:colOff>485257</xdr:colOff>
      <xdr:row>28</xdr:row>
      <xdr:rowOff>79738</xdr:rowOff>
    </xdr:to>
    <xdr:graphicFrame macro="">
      <xdr:nvGraphicFramePr>
        <xdr:cNvPr id="102" name="Chart 101">
          <a:extLst>
            <a:ext uri="{FF2B5EF4-FFF2-40B4-BE49-F238E27FC236}">
              <a16:creationId xmlns:a16="http://schemas.microsoft.com/office/drawing/2014/main" id="{7C8232DD-B6AC-427C-9A05-A236806F9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542470</xdr:colOff>
      <xdr:row>17</xdr:row>
      <xdr:rowOff>62593</xdr:rowOff>
    </xdr:from>
    <xdr:to>
      <xdr:col>29</xdr:col>
      <xdr:colOff>6022</xdr:colOff>
      <xdr:row>28</xdr:row>
      <xdr:rowOff>61069</xdr:rowOff>
    </xdr:to>
    <xdr:graphicFrame macro="">
      <xdr:nvGraphicFramePr>
        <xdr:cNvPr id="104" name="Chart 103">
          <a:extLst>
            <a:ext uri="{FF2B5EF4-FFF2-40B4-BE49-F238E27FC236}">
              <a16:creationId xmlns:a16="http://schemas.microsoft.com/office/drawing/2014/main" id="{CB36E878-6106-4528-BB48-9D44FD417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xdr:col>
      <xdr:colOff>551932</xdr:colOff>
      <xdr:row>28</xdr:row>
      <xdr:rowOff>153216</xdr:rowOff>
    </xdr:from>
    <xdr:to>
      <xdr:col>19</xdr:col>
      <xdr:colOff>475732</xdr:colOff>
      <xdr:row>40</xdr:row>
      <xdr:rowOff>144072</xdr:rowOff>
    </xdr:to>
    <xdr:graphicFrame macro="">
      <xdr:nvGraphicFramePr>
        <xdr:cNvPr id="107" name="Chart 106">
          <a:extLst>
            <a:ext uri="{FF2B5EF4-FFF2-40B4-BE49-F238E27FC236}">
              <a16:creationId xmlns:a16="http://schemas.microsoft.com/office/drawing/2014/main" id="{A1E1D2CA-47FD-464F-BC17-4BDC001B3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542470</xdr:colOff>
      <xdr:row>28</xdr:row>
      <xdr:rowOff>153216</xdr:rowOff>
    </xdr:from>
    <xdr:to>
      <xdr:col>28</xdr:col>
      <xdr:colOff>606478</xdr:colOff>
      <xdr:row>40</xdr:row>
      <xdr:rowOff>134928</xdr:rowOff>
    </xdr:to>
    <xdr:graphicFrame macro="">
      <xdr:nvGraphicFramePr>
        <xdr:cNvPr id="108" name="Chart 107">
          <a:extLst>
            <a:ext uri="{FF2B5EF4-FFF2-40B4-BE49-F238E27FC236}">
              <a16:creationId xmlns:a16="http://schemas.microsoft.com/office/drawing/2014/main" id="{0FB1F31E-C058-433B-A8F3-CCB20E0C4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0</xdr:col>
      <xdr:colOff>133348</xdr:colOff>
      <xdr:row>1</xdr:row>
      <xdr:rowOff>180975</xdr:rowOff>
    </xdr:from>
    <xdr:to>
      <xdr:col>7</xdr:col>
      <xdr:colOff>418718</xdr:colOff>
      <xdr:row>7</xdr:row>
      <xdr:rowOff>55244</xdr:rowOff>
    </xdr:to>
    <mc:AlternateContent xmlns:mc="http://schemas.openxmlformats.org/markup-compatibility/2006">
      <mc:Choice xmlns:a14="http://schemas.microsoft.com/office/drawing/2010/main" Requires="a14">
        <xdr:graphicFrame macro="">
          <xdr:nvGraphicFramePr>
            <xdr:cNvPr id="111" name="Date (Year) 1">
              <a:extLst>
                <a:ext uri="{FF2B5EF4-FFF2-40B4-BE49-F238E27FC236}">
                  <a16:creationId xmlns:a16="http://schemas.microsoft.com/office/drawing/2014/main" id="{AA9DFB7D-6E22-4D2F-91CD-FA0320BA29F8}"/>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133348" y="371475"/>
              <a:ext cx="4552570" cy="1017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380997</xdr:colOff>
      <xdr:row>2</xdr:row>
      <xdr:rowOff>19049</xdr:rowOff>
    </xdr:from>
    <xdr:to>
      <xdr:col>29</xdr:col>
      <xdr:colOff>48765</xdr:colOff>
      <xdr:row>7</xdr:row>
      <xdr:rowOff>35813</xdr:rowOff>
    </xdr:to>
    <mc:AlternateContent xmlns:mc="http://schemas.openxmlformats.org/markup-compatibility/2006">
      <mc:Choice xmlns:a14="http://schemas.microsoft.com/office/drawing/2010/main" Requires="a14">
        <xdr:graphicFrame macro="">
          <xdr:nvGraphicFramePr>
            <xdr:cNvPr id="112" name="Date (Month) 3">
              <a:extLst>
                <a:ext uri="{FF2B5EF4-FFF2-40B4-BE49-F238E27FC236}">
                  <a16:creationId xmlns:a16="http://schemas.microsoft.com/office/drawing/2014/main" id="{69F3D341-B8F7-4717-9663-D84410A96B4A}"/>
                </a:ext>
              </a:extLst>
            </xdr:cNvPr>
            <xdr:cNvGraphicFramePr/>
          </xdr:nvGraphicFramePr>
          <xdr:xfrm>
            <a:off x="0" y="0"/>
            <a:ext cx="0" cy="0"/>
          </xdr:xfrm>
          <a:graphic>
            <a:graphicData uri="http://schemas.microsoft.com/office/drawing/2010/slicer">
              <sle:slicer xmlns:sle="http://schemas.microsoft.com/office/drawing/2010/slicer" name="Date (Month) 3"/>
            </a:graphicData>
          </a:graphic>
        </xdr:graphicFrame>
      </mc:Choice>
      <mc:Fallback>
        <xdr:sp macro="" textlink="">
          <xdr:nvSpPr>
            <xdr:cNvPr id="0" name=""/>
            <xdr:cNvSpPr>
              <a:spLocks noTextEdit="1"/>
            </xdr:cNvSpPr>
          </xdr:nvSpPr>
          <xdr:spPr>
            <a:xfrm>
              <a:off x="13182597" y="400049"/>
              <a:ext cx="4544568" cy="96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292100</xdr:colOff>
      <xdr:row>19</xdr:row>
      <xdr:rowOff>136525</xdr:rowOff>
    </xdr:from>
    <xdr:to>
      <xdr:col>3</xdr:col>
      <xdr:colOff>168275</xdr:colOff>
      <xdr:row>22</xdr:row>
      <xdr:rowOff>22225</xdr:rowOff>
    </xdr:to>
    <xdr:sp macro="" textlink="">
      <xdr:nvSpPr>
        <xdr:cNvPr id="61" name="TextBox 60">
          <a:extLst>
            <a:ext uri="{FF2B5EF4-FFF2-40B4-BE49-F238E27FC236}">
              <a16:creationId xmlns:a16="http://schemas.microsoft.com/office/drawing/2014/main" id="{87D7FF82-C29F-40CE-B30A-202A9D72D545}"/>
            </a:ext>
          </a:extLst>
        </xdr:cNvPr>
        <xdr:cNvSpPr txBox="1"/>
      </xdr:nvSpPr>
      <xdr:spPr>
        <a:xfrm>
          <a:off x="901700" y="37560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Constantia" panose="02030602050306030303" pitchFamily="18" charset="0"/>
            </a:rPr>
            <a:t>Financial Percentage</a:t>
          </a:r>
        </a:p>
      </xdr:txBody>
    </xdr:sp>
    <xdr:clientData/>
  </xdr:twoCellAnchor>
  <xdr:twoCellAnchor>
    <xdr:from>
      <xdr:col>1</xdr:col>
      <xdr:colOff>314325</xdr:colOff>
      <xdr:row>33</xdr:row>
      <xdr:rowOff>28575</xdr:rowOff>
    </xdr:from>
    <xdr:to>
      <xdr:col>3</xdr:col>
      <xdr:colOff>190498</xdr:colOff>
      <xdr:row>35</xdr:row>
      <xdr:rowOff>104757</xdr:rowOff>
    </xdr:to>
    <xdr:sp macro="" textlink="">
      <xdr:nvSpPr>
        <xdr:cNvPr id="96" name="TextBox 74">
          <a:extLst>
            <a:ext uri="{FF2B5EF4-FFF2-40B4-BE49-F238E27FC236}">
              <a16:creationId xmlns:a16="http://schemas.microsoft.com/office/drawing/2014/main" id="{986CCEF9-B864-59BC-A58D-8822F51A2C2A}"/>
            </a:ext>
          </a:extLst>
        </xdr:cNvPr>
        <xdr:cNvSpPr txBox="1"/>
      </xdr:nvSpPr>
      <xdr:spPr>
        <a:xfrm>
          <a:off x="923925" y="6315075"/>
          <a:ext cx="1095373" cy="457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050" b="1">
              <a:solidFill>
                <a:schemeClr val="bg1"/>
              </a:solidFill>
              <a:latin typeface="Constantia" panose="02030602050306030303" pitchFamily="18" charset="0"/>
            </a:rPr>
            <a:t>Hydration Percentage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123823</xdr:colOff>
      <xdr:row>0</xdr:row>
      <xdr:rowOff>57149</xdr:rowOff>
    </xdr:from>
    <xdr:to>
      <xdr:col>29</xdr:col>
      <xdr:colOff>66675</xdr:colOff>
      <xdr:row>41</xdr:row>
      <xdr:rowOff>19050</xdr:rowOff>
    </xdr:to>
    <xdr:grpSp>
      <xdr:nvGrpSpPr>
        <xdr:cNvPr id="2" name="Group 1">
          <a:extLst>
            <a:ext uri="{FF2B5EF4-FFF2-40B4-BE49-F238E27FC236}">
              <a16:creationId xmlns:a16="http://schemas.microsoft.com/office/drawing/2014/main" id="{45F8746A-A9C1-46D6-AAD6-0259948CD6A7}"/>
            </a:ext>
          </a:extLst>
        </xdr:cNvPr>
        <xdr:cNvGrpSpPr/>
      </xdr:nvGrpSpPr>
      <xdr:grpSpPr>
        <a:xfrm>
          <a:off x="123823" y="57149"/>
          <a:ext cx="17621252" cy="7772401"/>
          <a:chOff x="123823" y="57149"/>
          <a:chExt cx="17621252" cy="7772401"/>
        </a:xfrm>
      </xdr:grpSpPr>
      <xdr:sp macro="" textlink="">
        <xdr:nvSpPr>
          <xdr:cNvPr id="3" name="Rectangle: Rounded Corners 2">
            <a:extLst>
              <a:ext uri="{FF2B5EF4-FFF2-40B4-BE49-F238E27FC236}">
                <a16:creationId xmlns:a16="http://schemas.microsoft.com/office/drawing/2014/main" id="{BB26FD3B-AF73-A929-FEA5-A82B2DBB6929}"/>
              </a:ext>
            </a:extLst>
          </xdr:cNvPr>
          <xdr:cNvSpPr/>
        </xdr:nvSpPr>
        <xdr:spPr>
          <a:xfrm>
            <a:off x="123825" y="57149"/>
            <a:ext cx="17621250" cy="7772401"/>
          </a:xfrm>
          <a:prstGeom prst="roundRect">
            <a:avLst>
              <a:gd name="adj" fmla="val 3554"/>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Top Corners Rounded 3">
            <a:extLst>
              <a:ext uri="{FF2B5EF4-FFF2-40B4-BE49-F238E27FC236}">
                <a16:creationId xmlns:a16="http://schemas.microsoft.com/office/drawing/2014/main" id="{7777A567-FD6E-D7FC-7255-0B108AC254D8}"/>
              </a:ext>
            </a:extLst>
          </xdr:cNvPr>
          <xdr:cNvSpPr/>
        </xdr:nvSpPr>
        <xdr:spPr>
          <a:xfrm>
            <a:off x="123825" y="57150"/>
            <a:ext cx="17620488" cy="1323976"/>
          </a:xfrm>
          <a:prstGeom prst="round2Same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Single Corner Rounded 4">
            <a:extLst>
              <a:ext uri="{FF2B5EF4-FFF2-40B4-BE49-F238E27FC236}">
                <a16:creationId xmlns:a16="http://schemas.microsoft.com/office/drawing/2014/main" id="{FD697F67-0F6E-EAD1-97A5-BA2153C426E7}"/>
              </a:ext>
            </a:extLst>
          </xdr:cNvPr>
          <xdr:cNvSpPr/>
        </xdr:nvSpPr>
        <xdr:spPr>
          <a:xfrm flipH="1">
            <a:off x="123823" y="57150"/>
            <a:ext cx="4572000" cy="1325880"/>
          </a:xfrm>
          <a:prstGeom prst="round1Rect">
            <a:avLst>
              <a:gd name="adj" fmla="val 14512"/>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Single Corner Rounded 5">
            <a:extLst>
              <a:ext uri="{FF2B5EF4-FFF2-40B4-BE49-F238E27FC236}">
                <a16:creationId xmlns:a16="http://schemas.microsoft.com/office/drawing/2014/main" id="{9A0C014E-4505-E543-594C-243CE17AC17B}"/>
              </a:ext>
            </a:extLst>
          </xdr:cNvPr>
          <xdr:cNvSpPr/>
        </xdr:nvSpPr>
        <xdr:spPr>
          <a:xfrm>
            <a:off x="13173074" y="57150"/>
            <a:ext cx="4572000" cy="1325880"/>
          </a:xfrm>
          <a:prstGeom prst="round1Rect">
            <a:avLst>
              <a:gd name="adj" fmla="val 15949"/>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D80C7EBA-C2F6-1D80-88B6-4A1E4CCBCC3A}"/>
              </a:ext>
            </a:extLst>
          </xdr:cNvPr>
          <xdr:cNvSpPr txBox="1"/>
        </xdr:nvSpPr>
        <xdr:spPr>
          <a:xfrm>
            <a:off x="5953125" y="104775"/>
            <a:ext cx="699135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Constantia" panose="02030602050306030303" pitchFamily="18" charset="0"/>
                <a:cs typeface="Aharoni" panose="020F0502020204030204" pitchFamily="2" charset="-79"/>
              </a:rPr>
              <a:t>ENERGY CONSUMPTION COMMAND</a:t>
            </a:r>
            <a:r>
              <a:rPr lang="en-US" sz="2400" b="1" baseline="0">
                <a:latin typeface="Constantia" panose="02030602050306030303" pitchFamily="18" charset="0"/>
                <a:cs typeface="Aharoni" panose="020F0502020204030204" pitchFamily="2" charset="-79"/>
              </a:rPr>
              <a:t> CENTER</a:t>
            </a:r>
            <a:endParaRPr lang="en-US" sz="2400" b="1">
              <a:latin typeface="Constantia" panose="02030602050306030303" pitchFamily="18" charset="0"/>
              <a:cs typeface="Aharoni" panose="020F0502020204030204" pitchFamily="2" charset="-79"/>
            </a:endParaRPr>
          </a:p>
        </xdr:txBody>
      </xdr:sp>
      <xdr:cxnSp macro="">
        <xdr:nvCxnSpPr>
          <xdr:cNvPr id="8" name="Straight Connector 7">
            <a:extLst>
              <a:ext uri="{FF2B5EF4-FFF2-40B4-BE49-F238E27FC236}">
                <a16:creationId xmlns:a16="http://schemas.microsoft.com/office/drawing/2014/main" id="{C57A6433-5401-E1C4-8992-10991BA5AB8B}"/>
              </a:ext>
            </a:extLst>
          </xdr:cNvPr>
          <xdr:cNvCxnSpPr/>
        </xdr:nvCxnSpPr>
        <xdr:spPr>
          <a:xfrm flipH="1">
            <a:off x="5991225" y="171449"/>
            <a:ext cx="0" cy="1097280"/>
          </a:xfrm>
          <a:prstGeom prst="line">
            <a:avLst/>
          </a:prstGeom>
        </xdr:spPr>
        <xdr:style>
          <a:lnRef idx="2">
            <a:schemeClr val="dk1"/>
          </a:lnRef>
          <a:fillRef idx="0">
            <a:schemeClr val="dk1"/>
          </a:fillRef>
          <a:effectRef idx="1">
            <a:schemeClr val="dk1"/>
          </a:effectRef>
          <a:fontRef idx="minor">
            <a:schemeClr val="tx1"/>
          </a:fontRef>
        </xdr:style>
      </xdr:cxnSp>
      <xdr:sp macro="" textlink="">
        <xdr:nvSpPr>
          <xdr:cNvPr id="9" name="TextBox 8">
            <a:extLst>
              <a:ext uri="{FF2B5EF4-FFF2-40B4-BE49-F238E27FC236}">
                <a16:creationId xmlns:a16="http://schemas.microsoft.com/office/drawing/2014/main" id="{CCB44275-BB8C-02F8-5A90-10B3BE6CAC63}"/>
              </a:ext>
            </a:extLst>
          </xdr:cNvPr>
          <xdr:cNvSpPr txBox="1"/>
        </xdr:nvSpPr>
        <xdr:spPr>
          <a:xfrm>
            <a:off x="6019800" y="809625"/>
            <a:ext cx="38290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baseline="0">
                <a:solidFill>
                  <a:schemeClr val="tx1">
                    <a:lumMod val="65000"/>
                    <a:lumOff val="35000"/>
                  </a:schemeClr>
                </a:solidFill>
                <a:latin typeface="Aharoni" panose="02010803020104030203" pitchFamily="2" charset="-79"/>
                <a:cs typeface="Aharoni" panose="02010803020104030203" pitchFamily="2" charset="-79"/>
              </a:rPr>
              <a:t>Gas Analytics Dashboard</a:t>
            </a:r>
            <a:endParaRPr lang="en-US" sz="1600" b="1">
              <a:solidFill>
                <a:schemeClr val="tx1">
                  <a:lumMod val="65000"/>
                  <a:lumOff val="35000"/>
                </a:schemeClr>
              </a:solidFill>
              <a:latin typeface="Aharoni" panose="02010803020104030203" pitchFamily="2" charset="-79"/>
              <a:cs typeface="Aharoni" panose="02010803020104030203" pitchFamily="2" charset="-79"/>
            </a:endParaRPr>
          </a:p>
        </xdr:txBody>
      </xdr:sp>
      <xdr:sp macro="" textlink="">
        <xdr:nvSpPr>
          <xdr:cNvPr id="10" name="TextBox 9">
            <a:extLst>
              <a:ext uri="{FF2B5EF4-FFF2-40B4-BE49-F238E27FC236}">
                <a16:creationId xmlns:a16="http://schemas.microsoft.com/office/drawing/2014/main" id="{562D1CD2-B8D4-FD6F-F329-F5AB7AB2CBD1}"/>
              </a:ext>
            </a:extLst>
          </xdr:cNvPr>
          <xdr:cNvSpPr txBox="1"/>
        </xdr:nvSpPr>
        <xdr:spPr>
          <a:xfrm>
            <a:off x="2000248" y="128587"/>
            <a:ext cx="8191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haroni" panose="02010803020104030203" pitchFamily="2" charset="-79"/>
                <a:cs typeface="Aharoni" panose="02010803020104030203" pitchFamily="2" charset="-79"/>
              </a:rPr>
              <a:t>Year</a:t>
            </a:r>
          </a:p>
        </xdr:txBody>
      </xdr:sp>
      <xdr:sp macro="" textlink="">
        <xdr:nvSpPr>
          <xdr:cNvPr id="11" name="TextBox 10">
            <a:extLst>
              <a:ext uri="{FF2B5EF4-FFF2-40B4-BE49-F238E27FC236}">
                <a16:creationId xmlns:a16="http://schemas.microsoft.com/office/drawing/2014/main" id="{78F60ED2-6FCC-B599-D674-10AAA7B67730}"/>
              </a:ext>
            </a:extLst>
          </xdr:cNvPr>
          <xdr:cNvSpPr txBox="1"/>
        </xdr:nvSpPr>
        <xdr:spPr>
          <a:xfrm>
            <a:off x="14882812" y="147637"/>
            <a:ext cx="11525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haroni" panose="02010803020104030203" pitchFamily="2" charset="-79"/>
                <a:cs typeface="Aharoni" panose="02010803020104030203" pitchFamily="2" charset="-79"/>
              </a:rPr>
              <a:t>Month</a:t>
            </a:r>
          </a:p>
        </xdr:txBody>
      </xdr:sp>
    </xdr:grpSp>
    <xdr:clientData/>
  </xdr:twoCellAnchor>
  <xdr:twoCellAnchor>
    <xdr:from>
      <xdr:col>3</xdr:col>
      <xdr:colOff>120533</xdr:colOff>
      <xdr:row>7</xdr:row>
      <xdr:rowOff>142875</xdr:rowOff>
    </xdr:from>
    <xdr:to>
      <xdr:col>5</xdr:col>
      <xdr:colOff>550972</xdr:colOff>
      <xdr:row>13</xdr:row>
      <xdr:rowOff>5715</xdr:rowOff>
    </xdr:to>
    <xdr:sp macro="" textlink="">
      <xdr:nvSpPr>
        <xdr:cNvPr id="12" name="Rectangle: Rounded Corners 11">
          <a:extLst>
            <a:ext uri="{FF2B5EF4-FFF2-40B4-BE49-F238E27FC236}">
              <a16:creationId xmlns:a16="http://schemas.microsoft.com/office/drawing/2014/main" id="{45C97C37-9C91-43CF-9B04-A940C2C66EE6}"/>
            </a:ext>
          </a:extLst>
        </xdr:cNvPr>
        <xdr:cNvSpPr/>
      </xdr:nvSpPr>
      <xdr:spPr>
        <a:xfrm>
          <a:off x="1949333" y="1476375"/>
          <a:ext cx="1649639" cy="1005840"/>
        </a:xfrm>
        <a:prstGeom prst="roundRect">
          <a:avLst>
            <a:gd name="adj" fmla="val 16205"/>
          </a:avLst>
        </a:prstGeom>
        <a:solidFill>
          <a:srgbClr val="92D05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7</xdr:row>
      <xdr:rowOff>142875</xdr:rowOff>
    </xdr:from>
    <xdr:to>
      <xdr:col>3</xdr:col>
      <xdr:colOff>4753</xdr:colOff>
      <xdr:row>13</xdr:row>
      <xdr:rowOff>5715</xdr:rowOff>
    </xdr:to>
    <xdr:sp macro="" textlink="">
      <xdr:nvSpPr>
        <xdr:cNvPr id="13" name="Rectangle: Rounded Corners 12">
          <a:extLst>
            <a:ext uri="{FF2B5EF4-FFF2-40B4-BE49-F238E27FC236}">
              <a16:creationId xmlns:a16="http://schemas.microsoft.com/office/drawing/2014/main" id="{9E7A5CB7-4F0B-42E1-B5E0-749E2882254C}"/>
            </a:ext>
          </a:extLst>
        </xdr:cNvPr>
        <xdr:cNvSpPr/>
      </xdr:nvSpPr>
      <xdr:spPr>
        <a:xfrm>
          <a:off x="177800" y="1476375"/>
          <a:ext cx="1655753" cy="1005840"/>
        </a:xfrm>
        <a:prstGeom prst="roundRect">
          <a:avLst>
            <a:gd name="adj" fmla="val 16205"/>
          </a:avLst>
        </a:prstGeom>
        <a:solidFill>
          <a:srgbClr val="92D05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57151</xdr:colOff>
      <xdr:row>7</xdr:row>
      <xdr:rowOff>142875</xdr:rowOff>
    </xdr:from>
    <xdr:to>
      <xdr:col>8</xdr:col>
      <xdr:colOff>482601</xdr:colOff>
      <xdr:row>13</xdr:row>
      <xdr:rowOff>5715</xdr:rowOff>
    </xdr:to>
    <xdr:sp macro="" textlink="">
      <xdr:nvSpPr>
        <xdr:cNvPr id="14" name="Rectangle: Rounded Corners 13">
          <a:extLst>
            <a:ext uri="{FF2B5EF4-FFF2-40B4-BE49-F238E27FC236}">
              <a16:creationId xmlns:a16="http://schemas.microsoft.com/office/drawing/2014/main" id="{C5DD9BE9-0C8F-4AB3-8633-0D1A1E29E8E4}"/>
            </a:ext>
          </a:extLst>
        </xdr:cNvPr>
        <xdr:cNvSpPr/>
      </xdr:nvSpPr>
      <xdr:spPr>
        <a:xfrm>
          <a:off x="3714751" y="1476375"/>
          <a:ext cx="1644650" cy="1005840"/>
        </a:xfrm>
        <a:prstGeom prst="roundRect">
          <a:avLst>
            <a:gd name="adj" fmla="val 16205"/>
          </a:avLst>
        </a:prstGeom>
        <a:solidFill>
          <a:srgbClr val="92D05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13</xdr:row>
      <xdr:rowOff>98425</xdr:rowOff>
    </xdr:from>
    <xdr:to>
      <xdr:col>8</xdr:col>
      <xdr:colOff>482601</xdr:colOff>
      <xdr:row>26</xdr:row>
      <xdr:rowOff>182245</xdr:rowOff>
    </xdr:to>
    <xdr:sp macro="" textlink="">
      <xdr:nvSpPr>
        <xdr:cNvPr id="15" name="Rectangle: Rounded Corners 14">
          <a:extLst>
            <a:ext uri="{FF2B5EF4-FFF2-40B4-BE49-F238E27FC236}">
              <a16:creationId xmlns:a16="http://schemas.microsoft.com/office/drawing/2014/main" id="{54A9E22D-7BB6-4DF4-A0D6-8444CE63EECE}"/>
            </a:ext>
          </a:extLst>
        </xdr:cNvPr>
        <xdr:cNvSpPr/>
      </xdr:nvSpPr>
      <xdr:spPr>
        <a:xfrm>
          <a:off x="177800" y="2574925"/>
          <a:ext cx="5181601" cy="2560320"/>
        </a:xfrm>
        <a:prstGeom prst="roundRect">
          <a:avLst>
            <a:gd name="adj" fmla="val 16205"/>
          </a:avLst>
        </a:prstGeom>
        <a:solidFill>
          <a:srgbClr val="00FA71"/>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177799</xdr:colOff>
      <xdr:row>27</xdr:row>
      <xdr:rowOff>50800</xdr:rowOff>
    </xdr:from>
    <xdr:to>
      <xdr:col>8</xdr:col>
      <xdr:colOff>485647</xdr:colOff>
      <xdr:row>40</xdr:row>
      <xdr:rowOff>134620</xdr:rowOff>
    </xdr:to>
    <xdr:sp macro="" textlink="">
      <xdr:nvSpPr>
        <xdr:cNvPr id="16" name="Rectangle: Rounded Corners 15">
          <a:extLst>
            <a:ext uri="{FF2B5EF4-FFF2-40B4-BE49-F238E27FC236}">
              <a16:creationId xmlns:a16="http://schemas.microsoft.com/office/drawing/2014/main" id="{E22C1039-DAC7-46E8-8D43-669852223879}"/>
            </a:ext>
          </a:extLst>
        </xdr:cNvPr>
        <xdr:cNvSpPr/>
      </xdr:nvSpPr>
      <xdr:spPr>
        <a:xfrm>
          <a:off x="177799" y="5194300"/>
          <a:ext cx="5184648" cy="2560320"/>
        </a:xfrm>
        <a:prstGeom prst="roundRect">
          <a:avLst>
            <a:gd name="adj" fmla="val 16205"/>
          </a:avLst>
        </a:prstGeom>
        <a:solidFill>
          <a:srgbClr val="00FA71"/>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551932</xdr:colOff>
      <xdr:row>17</xdr:row>
      <xdr:rowOff>62593</xdr:rowOff>
    </xdr:from>
    <xdr:to>
      <xdr:col>19</xdr:col>
      <xdr:colOff>475732</xdr:colOff>
      <xdr:row>28</xdr:row>
      <xdr:rowOff>70213</xdr:rowOff>
    </xdr:to>
    <xdr:sp macro="" textlink="">
      <xdr:nvSpPr>
        <xdr:cNvPr id="17" name="Rectangle: Rounded Corners 16">
          <a:extLst>
            <a:ext uri="{FF2B5EF4-FFF2-40B4-BE49-F238E27FC236}">
              <a16:creationId xmlns:a16="http://schemas.microsoft.com/office/drawing/2014/main" id="{4E29FD45-7A69-481C-BD1D-F3A8B066F25A}"/>
            </a:ext>
          </a:extLst>
        </xdr:cNvPr>
        <xdr:cNvSpPr/>
      </xdr:nvSpPr>
      <xdr:spPr>
        <a:xfrm>
          <a:off x="5428732" y="3301093"/>
          <a:ext cx="6629400" cy="2103120"/>
        </a:xfrm>
        <a:prstGeom prst="roundRect">
          <a:avLst>
            <a:gd name="adj" fmla="val 16205"/>
          </a:avLst>
        </a:prstGeom>
        <a:solidFill>
          <a:srgbClr val="92D05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551932</xdr:colOff>
      <xdr:row>28</xdr:row>
      <xdr:rowOff>153216</xdr:rowOff>
    </xdr:from>
    <xdr:to>
      <xdr:col>19</xdr:col>
      <xdr:colOff>476186</xdr:colOff>
      <xdr:row>40</xdr:row>
      <xdr:rowOff>134620</xdr:rowOff>
    </xdr:to>
    <xdr:sp macro="" textlink="">
      <xdr:nvSpPr>
        <xdr:cNvPr id="18" name="Rectangle: Rounded Corners 17">
          <a:extLst>
            <a:ext uri="{FF2B5EF4-FFF2-40B4-BE49-F238E27FC236}">
              <a16:creationId xmlns:a16="http://schemas.microsoft.com/office/drawing/2014/main" id="{17AB8F08-BDB7-49C7-A069-C1821CEA0456}"/>
            </a:ext>
          </a:extLst>
        </xdr:cNvPr>
        <xdr:cNvSpPr/>
      </xdr:nvSpPr>
      <xdr:spPr>
        <a:xfrm>
          <a:off x="5428732" y="5487216"/>
          <a:ext cx="6629854" cy="2267404"/>
        </a:xfrm>
        <a:prstGeom prst="roundRect">
          <a:avLst>
            <a:gd name="adj" fmla="val 16205"/>
          </a:avLst>
        </a:prstGeom>
        <a:solidFill>
          <a:srgbClr val="92D050"/>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542407</xdr:colOff>
      <xdr:row>7</xdr:row>
      <xdr:rowOff>142875</xdr:rowOff>
    </xdr:from>
    <xdr:to>
      <xdr:col>19</xdr:col>
      <xdr:colOff>466207</xdr:colOff>
      <xdr:row>16</xdr:row>
      <xdr:rowOff>170090</xdr:rowOff>
    </xdr:to>
    <xdr:sp macro="" textlink="">
      <xdr:nvSpPr>
        <xdr:cNvPr id="19" name="Rectangle: Rounded Corners 18">
          <a:extLst>
            <a:ext uri="{FF2B5EF4-FFF2-40B4-BE49-F238E27FC236}">
              <a16:creationId xmlns:a16="http://schemas.microsoft.com/office/drawing/2014/main" id="{4F218E81-8629-4312-84A8-2BC9B22460F9}"/>
            </a:ext>
          </a:extLst>
        </xdr:cNvPr>
        <xdr:cNvSpPr/>
      </xdr:nvSpPr>
      <xdr:spPr>
        <a:xfrm>
          <a:off x="5419207" y="1476375"/>
          <a:ext cx="6629400" cy="1741715"/>
        </a:xfrm>
        <a:prstGeom prst="roundRect">
          <a:avLst>
            <a:gd name="adj" fmla="val 16205"/>
          </a:avLst>
        </a:prstGeom>
        <a:solidFill>
          <a:srgbClr val="00FA71"/>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17</xdr:row>
      <xdr:rowOff>62593</xdr:rowOff>
    </xdr:from>
    <xdr:to>
      <xdr:col>29</xdr:col>
      <xdr:colOff>6022</xdr:colOff>
      <xdr:row>28</xdr:row>
      <xdr:rowOff>70213</xdr:rowOff>
    </xdr:to>
    <xdr:sp macro="" textlink="">
      <xdr:nvSpPr>
        <xdr:cNvPr id="20" name="Rectangle: Rounded Corners 19">
          <a:extLst>
            <a:ext uri="{FF2B5EF4-FFF2-40B4-BE49-F238E27FC236}">
              <a16:creationId xmlns:a16="http://schemas.microsoft.com/office/drawing/2014/main" id="{6F652428-2808-4962-9D5C-930E0EDE9BA1}"/>
            </a:ext>
          </a:extLst>
        </xdr:cNvPr>
        <xdr:cNvSpPr/>
      </xdr:nvSpPr>
      <xdr:spPr>
        <a:xfrm>
          <a:off x="12124870" y="3301093"/>
          <a:ext cx="5559552" cy="2103120"/>
        </a:xfrm>
        <a:prstGeom prst="roundRect">
          <a:avLst>
            <a:gd name="adj" fmla="val 16205"/>
          </a:avLst>
        </a:prstGeom>
        <a:solidFill>
          <a:srgbClr val="007E39"/>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28</xdr:row>
      <xdr:rowOff>153216</xdr:rowOff>
    </xdr:from>
    <xdr:to>
      <xdr:col>29</xdr:col>
      <xdr:colOff>8130</xdr:colOff>
      <xdr:row>40</xdr:row>
      <xdr:rowOff>134620</xdr:rowOff>
    </xdr:to>
    <xdr:sp macro="" textlink="">
      <xdr:nvSpPr>
        <xdr:cNvPr id="21" name="Rectangle: Rounded Corners 20">
          <a:extLst>
            <a:ext uri="{FF2B5EF4-FFF2-40B4-BE49-F238E27FC236}">
              <a16:creationId xmlns:a16="http://schemas.microsoft.com/office/drawing/2014/main" id="{31A2380A-7C14-4157-8B15-DD372E9B93DB}"/>
            </a:ext>
          </a:extLst>
        </xdr:cNvPr>
        <xdr:cNvSpPr/>
      </xdr:nvSpPr>
      <xdr:spPr>
        <a:xfrm>
          <a:off x="12124870" y="5487216"/>
          <a:ext cx="5561660" cy="2267404"/>
        </a:xfrm>
        <a:prstGeom prst="roundRect">
          <a:avLst>
            <a:gd name="adj" fmla="val 16205"/>
          </a:avLst>
        </a:prstGeom>
        <a:solidFill>
          <a:srgbClr val="007E39"/>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542470</xdr:colOff>
      <xdr:row>7</xdr:row>
      <xdr:rowOff>142875</xdr:rowOff>
    </xdr:from>
    <xdr:to>
      <xdr:col>29</xdr:col>
      <xdr:colOff>6022</xdr:colOff>
      <xdr:row>16</xdr:row>
      <xdr:rowOff>170090</xdr:rowOff>
    </xdr:to>
    <xdr:sp macro="" textlink="">
      <xdr:nvSpPr>
        <xdr:cNvPr id="22" name="Rectangle: Rounded Corners 21">
          <a:extLst>
            <a:ext uri="{FF2B5EF4-FFF2-40B4-BE49-F238E27FC236}">
              <a16:creationId xmlns:a16="http://schemas.microsoft.com/office/drawing/2014/main" id="{2BBA85CA-771D-46FF-9BAD-02816FA4CA2A}"/>
            </a:ext>
          </a:extLst>
        </xdr:cNvPr>
        <xdr:cNvSpPr/>
      </xdr:nvSpPr>
      <xdr:spPr>
        <a:xfrm>
          <a:off x="12124870" y="1476375"/>
          <a:ext cx="5559552" cy="1741715"/>
        </a:xfrm>
        <a:prstGeom prst="roundRect">
          <a:avLst>
            <a:gd name="adj" fmla="val 16205"/>
          </a:avLst>
        </a:prstGeom>
        <a:solidFill>
          <a:srgbClr val="00FA71"/>
        </a:solidFill>
        <a:ln>
          <a:noFill/>
        </a:ln>
        <a:effectLst>
          <a:outerShdw blurRad="190500" dist="63500" dir="8100000" algn="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382588</xdr:colOff>
      <xdr:row>16</xdr:row>
      <xdr:rowOff>3175</xdr:rowOff>
    </xdr:from>
    <xdr:to>
      <xdr:col>8</xdr:col>
      <xdr:colOff>244475</xdr:colOff>
      <xdr:row>26</xdr:row>
      <xdr:rowOff>508</xdr:rowOff>
    </xdr:to>
    <xdr:grpSp>
      <xdr:nvGrpSpPr>
        <xdr:cNvPr id="23" name="top table">
          <a:extLst>
            <a:ext uri="{FF2B5EF4-FFF2-40B4-BE49-F238E27FC236}">
              <a16:creationId xmlns:a16="http://schemas.microsoft.com/office/drawing/2014/main" id="{DD32BD29-723B-43F5-8492-DC13FD38C23E}"/>
            </a:ext>
          </a:extLst>
        </xdr:cNvPr>
        <xdr:cNvGrpSpPr/>
      </xdr:nvGrpSpPr>
      <xdr:grpSpPr>
        <a:xfrm>
          <a:off x="2820988" y="3051175"/>
          <a:ext cx="2300287" cy="1902333"/>
          <a:chOff x="2873375" y="2908300"/>
          <a:chExt cx="2300287" cy="1902333"/>
        </a:xfrm>
      </xdr:grpSpPr>
      <xdr:cxnSp macro="">
        <xdr:nvCxnSpPr>
          <xdr:cNvPr id="24" name="Straight Connector 23">
            <a:extLst>
              <a:ext uri="{FF2B5EF4-FFF2-40B4-BE49-F238E27FC236}">
                <a16:creationId xmlns:a16="http://schemas.microsoft.com/office/drawing/2014/main" id="{93EAA098-C347-F65E-C120-6C549D9829ED}"/>
              </a:ext>
            </a:extLst>
          </xdr:cNvPr>
          <xdr:cNvCxnSpPr/>
        </xdr:nvCxnSpPr>
        <xdr:spPr>
          <a:xfrm>
            <a:off x="2887662" y="3860801"/>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5" name="Straight Connector 24">
            <a:extLst>
              <a:ext uri="{FF2B5EF4-FFF2-40B4-BE49-F238E27FC236}">
                <a16:creationId xmlns:a16="http://schemas.microsoft.com/office/drawing/2014/main" id="{455A8985-22B4-F220-7157-70E555545312}"/>
              </a:ext>
            </a:extLst>
          </xdr:cNvPr>
          <xdr:cNvCxnSpPr/>
        </xdr:nvCxnSpPr>
        <xdr:spPr>
          <a:xfrm>
            <a:off x="2878137" y="3389313"/>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6" name="Straight Connector 25">
            <a:extLst>
              <a:ext uri="{FF2B5EF4-FFF2-40B4-BE49-F238E27FC236}">
                <a16:creationId xmlns:a16="http://schemas.microsoft.com/office/drawing/2014/main" id="{FD189913-8B32-218C-290E-28A3790B0B7B}"/>
              </a:ext>
            </a:extLst>
          </xdr:cNvPr>
          <xdr:cNvCxnSpPr/>
        </xdr:nvCxnSpPr>
        <xdr:spPr>
          <a:xfrm>
            <a:off x="2887662" y="4332289"/>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7" name="Straight Connector 26">
            <a:extLst>
              <a:ext uri="{FF2B5EF4-FFF2-40B4-BE49-F238E27FC236}">
                <a16:creationId xmlns:a16="http://schemas.microsoft.com/office/drawing/2014/main" id="{6A9F1A1E-4A4E-1BEA-4FAC-74D2B9DA3805}"/>
              </a:ext>
            </a:extLst>
          </xdr:cNvPr>
          <xdr:cNvCxnSpPr/>
        </xdr:nvCxnSpPr>
        <xdr:spPr>
          <a:xfrm flipH="1">
            <a:off x="4044950" y="2917825"/>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8" name="Straight Connector 27">
            <a:extLst>
              <a:ext uri="{FF2B5EF4-FFF2-40B4-BE49-F238E27FC236}">
                <a16:creationId xmlns:a16="http://schemas.microsoft.com/office/drawing/2014/main" id="{9A7594D7-D0DA-241B-43F4-C80A96A5067A}"/>
              </a:ext>
            </a:extLst>
          </xdr:cNvPr>
          <xdr:cNvCxnSpPr/>
        </xdr:nvCxnSpPr>
        <xdr:spPr>
          <a:xfrm>
            <a:off x="2878137" y="4803775"/>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9" name="Straight Connector 28">
            <a:extLst>
              <a:ext uri="{FF2B5EF4-FFF2-40B4-BE49-F238E27FC236}">
                <a16:creationId xmlns:a16="http://schemas.microsoft.com/office/drawing/2014/main" id="{4D33F521-DA55-9676-5A08-6A8DC042DB0B}"/>
              </a:ext>
            </a:extLst>
          </xdr:cNvPr>
          <xdr:cNvCxnSpPr/>
        </xdr:nvCxnSpPr>
        <xdr:spPr>
          <a:xfrm>
            <a:off x="5168900" y="2913062"/>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0" name="Straight Connector 29">
            <a:extLst>
              <a:ext uri="{FF2B5EF4-FFF2-40B4-BE49-F238E27FC236}">
                <a16:creationId xmlns:a16="http://schemas.microsoft.com/office/drawing/2014/main" id="{E7E67F76-AADC-1AD7-4D44-B4C5CE73D831}"/>
              </a:ext>
            </a:extLst>
          </xdr:cNvPr>
          <xdr:cNvCxnSpPr/>
        </xdr:nvCxnSpPr>
        <xdr:spPr>
          <a:xfrm>
            <a:off x="2873375" y="2917825"/>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1" name="Straight Connector 30">
            <a:extLst>
              <a:ext uri="{FF2B5EF4-FFF2-40B4-BE49-F238E27FC236}">
                <a16:creationId xmlns:a16="http://schemas.microsoft.com/office/drawing/2014/main" id="{57AEDC95-AAAB-A824-886D-7B9967D456B7}"/>
              </a:ext>
            </a:extLst>
          </xdr:cNvPr>
          <xdr:cNvCxnSpPr/>
        </xdr:nvCxnSpPr>
        <xdr:spPr>
          <a:xfrm>
            <a:off x="2878137" y="2908300"/>
            <a:ext cx="2286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382588</xdr:colOff>
      <xdr:row>29</xdr:row>
      <xdr:rowOff>165100</xdr:rowOff>
    </xdr:from>
    <xdr:to>
      <xdr:col>8</xdr:col>
      <xdr:colOff>244475</xdr:colOff>
      <xdr:row>39</xdr:row>
      <xdr:rowOff>162433</xdr:rowOff>
    </xdr:to>
    <xdr:grpSp>
      <xdr:nvGrpSpPr>
        <xdr:cNvPr id="32" name="bottom table">
          <a:extLst>
            <a:ext uri="{FF2B5EF4-FFF2-40B4-BE49-F238E27FC236}">
              <a16:creationId xmlns:a16="http://schemas.microsoft.com/office/drawing/2014/main" id="{2F4010BD-EEB7-4D0F-A36C-9B3582106034}"/>
            </a:ext>
          </a:extLst>
        </xdr:cNvPr>
        <xdr:cNvGrpSpPr/>
      </xdr:nvGrpSpPr>
      <xdr:grpSpPr>
        <a:xfrm>
          <a:off x="2820988" y="5689600"/>
          <a:ext cx="2300287" cy="1902333"/>
          <a:chOff x="2882899" y="5451475"/>
          <a:chExt cx="2300287" cy="1902333"/>
        </a:xfrm>
      </xdr:grpSpPr>
      <xdr:cxnSp macro="">
        <xdr:nvCxnSpPr>
          <xdr:cNvPr id="33" name="Straight Connector 32">
            <a:extLst>
              <a:ext uri="{FF2B5EF4-FFF2-40B4-BE49-F238E27FC236}">
                <a16:creationId xmlns:a16="http://schemas.microsoft.com/office/drawing/2014/main" id="{4C7CCCC0-B46F-1E2E-023C-FD19AFE4F95F}"/>
              </a:ext>
            </a:extLst>
          </xdr:cNvPr>
          <xdr:cNvCxnSpPr/>
        </xdr:nvCxnSpPr>
        <xdr:spPr>
          <a:xfrm>
            <a:off x="2897186" y="6403976"/>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4" name="Straight Connector 33">
            <a:extLst>
              <a:ext uri="{FF2B5EF4-FFF2-40B4-BE49-F238E27FC236}">
                <a16:creationId xmlns:a16="http://schemas.microsoft.com/office/drawing/2014/main" id="{BE6B433C-8036-1DF9-63CF-31768B25CCBF}"/>
              </a:ext>
            </a:extLst>
          </xdr:cNvPr>
          <xdr:cNvCxnSpPr/>
        </xdr:nvCxnSpPr>
        <xdr:spPr>
          <a:xfrm>
            <a:off x="2887661" y="5932488"/>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5" name="Straight Connector 34">
            <a:extLst>
              <a:ext uri="{FF2B5EF4-FFF2-40B4-BE49-F238E27FC236}">
                <a16:creationId xmlns:a16="http://schemas.microsoft.com/office/drawing/2014/main" id="{C95E35F5-3301-D891-72F3-2BC5F28C9520}"/>
              </a:ext>
            </a:extLst>
          </xdr:cNvPr>
          <xdr:cNvCxnSpPr/>
        </xdr:nvCxnSpPr>
        <xdr:spPr>
          <a:xfrm>
            <a:off x="2897186" y="6875464"/>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6" name="Straight Connector 35">
            <a:extLst>
              <a:ext uri="{FF2B5EF4-FFF2-40B4-BE49-F238E27FC236}">
                <a16:creationId xmlns:a16="http://schemas.microsoft.com/office/drawing/2014/main" id="{9287E5A0-A39C-522F-D738-4BAA56DE3D92}"/>
              </a:ext>
            </a:extLst>
          </xdr:cNvPr>
          <xdr:cNvCxnSpPr/>
        </xdr:nvCxnSpPr>
        <xdr:spPr>
          <a:xfrm flipH="1">
            <a:off x="4054474" y="5461000"/>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7" name="Straight Connector 36">
            <a:extLst>
              <a:ext uri="{FF2B5EF4-FFF2-40B4-BE49-F238E27FC236}">
                <a16:creationId xmlns:a16="http://schemas.microsoft.com/office/drawing/2014/main" id="{7FB503B1-2B23-1AD3-B7D2-309A655994E1}"/>
              </a:ext>
            </a:extLst>
          </xdr:cNvPr>
          <xdr:cNvCxnSpPr/>
        </xdr:nvCxnSpPr>
        <xdr:spPr>
          <a:xfrm>
            <a:off x="2887661" y="7346950"/>
            <a:ext cx="2286000" cy="0"/>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8" name="Straight Connector 37">
            <a:extLst>
              <a:ext uri="{FF2B5EF4-FFF2-40B4-BE49-F238E27FC236}">
                <a16:creationId xmlns:a16="http://schemas.microsoft.com/office/drawing/2014/main" id="{EE3BB0B5-423A-E37A-1D5D-9300838C22AC}"/>
              </a:ext>
            </a:extLst>
          </xdr:cNvPr>
          <xdr:cNvCxnSpPr/>
        </xdr:nvCxnSpPr>
        <xdr:spPr>
          <a:xfrm>
            <a:off x="5178424" y="5456237"/>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39" name="Straight Connector 38">
            <a:extLst>
              <a:ext uri="{FF2B5EF4-FFF2-40B4-BE49-F238E27FC236}">
                <a16:creationId xmlns:a16="http://schemas.microsoft.com/office/drawing/2014/main" id="{12679DDC-692C-801C-57B9-400B1EB63006}"/>
              </a:ext>
            </a:extLst>
          </xdr:cNvPr>
          <xdr:cNvCxnSpPr/>
        </xdr:nvCxnSpPr>
        <xdr:spPr>
          <a:xfrm>
            <a:off x="2882899" y="5461000"/>
            <a:ext cx="0" cy="1892808"/>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40" name="Straight Connector 39">
            <a:extLst>
              <a:ext uri="{FF2B5EF4-FFF2-40B4-BE49-F238E27FC236}">
                <a16:creationId xmlns:a16="http://schemas.microsoft.com/office/drawing/2014/main" id="{31ABB637-E916-69AB-285A-10597C1D06C3}"/>
              </a:ext>
            </a:extLst>
          </xdr:cNvPr>
          <xdr:cNvCxnSpPr/>
        </xdr:nvCxnSpPr>
        <xdr:spPr>
          <a:xfrm>
            <a:off x="2887661" y="5451475"/>
            <a:ext cx="2286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6</xdr:col>
      <xdr:colOff>347663</xdr:colOff>
      <xdr:row>16</xdr:row>
      <xdr:rowOff>9525</xdr:rowOff>
    </xdr:from>
    <xdr:to>
      <xdr:col>8</xdr:col>
      <xdr:colOff>223838</xdr:colOff>
      <xdr:row>18</xdr:row>
      <xdr:rowOff>85725</xdr:rowOff>
    </xdr:to>
    <xdr:sp macro="" textlink="">
      <xdr:nvSpPr>
        <xdr:cNvPr id="42" name="TextBox 41">
          <a:extLst>
            <a:ext uri="{FF2B5EF4-FFF2-40B4-BE49-F238E27FC236}">
              <a16:creationId xmlns:a16="http://schemas.microsoft.com/office/drawing/2014/main" id="{1ECCF22E-73E8-4AF4-B4B7-33A82917D896}"/>
            </a:ext>
          </a:extLst>
        </xdr:cNvPr>
        <xdr:cNvSpPr txBox="1"/>
      </xdr:nvSpPr>
      <xdr:spPr>
        <a:xfrm>
          <a:off x="4005263" y="30575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ea typeface="ADLaM Display" panose="02010000000000000000" pitchFamily="2" charset="0"/>
              <a:cs typeface="ADLaM Display" panose="02010000000000000000" pitchFamily="2" charset="0"/>
            </a:rPr>
            <a:t>2016</a:t>
          </a:r>
        </a:p>
      </xdr:txBody>
    </xdr:sp>
    <xdr:clientData/>
  </xdr:twoCellAnchor>
  <xdr:twoCellAnchor>
    <xdr:from>
      <xdr:col>6</xdr:col>
      <xdr:colOff>347663</xdr:colOff>
      <xdr:row>18</xdr:row>
      <xdr:rowOff>98425</xdr:rowOff>
    </xdr:from>
    <xdr:to>
      <xdr:col>8</xdr:col>
      <xdr:colOff>223838</xdr:colOff>
      <xdr:row>20</xdr:row>
      <xdr:rowOff>174625</xdr:rowOff>
    </xdr:to>
    <xdr:sp macro="" textlink="">
      <xdr:nvSpPr>
        <xdr:cNvPr id="43" name="TextBox 42">
          <a:extLst>
            <a:ext uri="{FF2B5EF4-FFF2-40B4-BE49-F238E27FC236}">
              <a16:creationId xmlns:a16="http://schemas.microsoft.com/office/drawing/2014/main" id="{6A179D63-F2FE-4520-8256-E705F19EF0CB}"/>
            </a:ext>
          </a:extLst>
        </xdr:cNvPr>
        <xdr:cNvSpPr txBox="1"/>
      </xdr:nvSpPr>
      <xdr:spPr>
        <a:xfrm>
          <a:off x="4005263" y="35274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ea typeface="ADLaM Display" panose="02010000000000000000" pitchFamily="2" charset="0"/>
              <a:cs typeface="ADLaM Display" panose="02010000000000000000" pitchFamily="2" charset="0"/>
            </a:rPr>
            <a:t>2017</a:t>
          </a:r>
        </a:p>
      </xdr:txBody>
    </xdr:sp>
    <xdr:clientData/>
  </xdr:twoCellAnchor>
  <xdr:twoCellAnchor>
    <xdr:from>
      <xdr:col>6</xdr:col>
      <xdr:colOff>347663</xdr:colOff>
      <xdr:row>20</xdr:row>
      <xdr:rowOff>187325</xdr:rowOff>
    </xdr:from>
    <xdr:to>
      <xdr:col>8</xdr:col>
      <xdr:colOff>223838</xdr:colOff>
      <xdr:row>23</xdr:row>
      <xdr:rowOff>73025</xdr:rowOff>
    </xdr:to>
    <xdr:sp macro="" textlink="">
      <xdr:nvSpPr>
        <xdr:cNvPr id="44" name="TextBox 43">
          <a:extLst>
            <a:ext uri="{FF2B5EF4-FFF2-40B4-BE49-F238E27FC236}">
              <a16:creationId xmlns:a16="http://schemas.microsoft.com/office/drawing/2014/main" id="{756605A8-5CC4-4B2B-AFC0-30C6F175B598}"/>
            </a:ext>
          </a:extLst>
        </xdr:cNvPr>
        <xdr:cNvSpPr txBox="1"/>
      </xdr:nvSpPr>
      <xdr:spPr>
        <a:xfrm>
          <a:off x="4005263" y="39973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ea typeface="ADLaM Display" panose="02010000000000000000" pitchFamily="2" charset="0"/>
              <a:cs typeface="ADLaM Display" panose="02010000000000000000" pitchFamily="2" charset="0"/>
            </a:rPr>
            <a:t>2018</a:t>
          </a:r>
        </a:p>
      </xdr:txBody>
    </xdr:sp>
    <xdr:clientData/>
  </xdr:twoCellAnchor>
  <xdr:twoCellAnchor>
    <xdr:from>
      <xdr:col>6</xdr:col>
      <xdr:colOff>347663</xdr:colOff>
      <xdr:row>23</xdr:row>
      <xdr:rowOff>85725</xdr:rowOff>
    </xdr:from>
    <xdr:to>
      <xdr:col>8</xdr:col>
      <xdr:colOff>223838</xdr:colOff>
      <xdr:row>25</xdr:row>
      <xdr:rowOff>161925</xdr:rowOff>
    </xdr:to>
    <xdr:sp macro="" textlink="">
      <xdr:nvSpPr>
        <xdr:cNvPr id="45" name="TextBox 44">
          <a:extLst>
            <a:ext uri="{FF2B5EF4-FFF2-40B4-BE49-F238E27FC236}">
              <a16:creationId xmlns:a16="http://schemas.microsoft.com/office/drawing/2014/main" id="{3DD7C5DB-F5BE-49F7-A650-C48E90BF8041}"/>
            </a:ext>
          </a:extLst>
        </xdr:cNvPr>
        <xdr:cNvSpPr txBox="1"/>
      </xdr:nvSpPr>
      <xdr:spPr>
        <a:xfrm>
          <a:off x="4005263" y="44672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ea typeface="ADLaM Display" panose="02010000000000000000" pitchFamily="2" charset="0"/>
              <a:cs typeface="ADLaM Display" panose="02010000000000000000" pitchFamily="2" charset="0"/>
            </a:rPr>
            <a:t>2019</a:t>
          </a:r>
        </a:p>
      </xdr:txBody>
    </xdr:sp>
    <xdr:clientData/>
  </xdr:twoCellAnchor>
  <xdr:twoCellAnchor>
    <xdr:from>
      <xdr:col>4</xdr:col>
      <xdr:colOff>415925</xdr:colOff>
      <xdr:row>16</xdr:row>
      <xdr:rowOff>3175</xdr:rowOff>
    </xdr:from>
    <xdr:to>
      <xdr:col>6</xdr:col>
      <xdr:colOff>292100</xdr:colOff>
      <xdr:row>18</xdr:row>
      <xdr:rowOff>79375</xdr:rowOff>
    </xdr:to>
    <xdr:sp macro="" textlink="gas_analysis!$F$9">
      <xdr:nvSpPr>
        <xdr:cNvPr id="46" name="TextBox 45">
          <a:extLst>
            <a:ext uri="{FF2B5EF4-FFF2-40B4-BE49-F238E27FC236}">
              <a16:creationId xmlns:a16="http://schemas.microsoft.com/office/drawing/2014/main" id="{8CFD5B51-3E94-45E4-9122-F4647AB409C3}"/>
            </a:ext>
          </a:extLst>
        </xdr:cNvPr>
        <xdr:cNvSpPr txBox="1"/>
      </xdr:nvSpPr>
      <xdr:spPr>
        <a:xfrm>
          <a:off x="2854325" y="30511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740AE2-C0CA-47EC-AE1A-CB68D7C28CEE}" type="TxLink">
            <a:rPr lang="en-US" sz="1400" b="1" i="0" u="none" strike="noStrike">
              <a:solidFill>
                <a:schemeClr val="tx1"/>
              </a:solidFill>
              <a:latin typeface="Aptos Display (Headings)"/>
            </a:rPr>
            <a:t>$504,523</a:t>
          </a:fld>
          <a:endParaRPr lang="en-US" sz="1800" b="1">
            <a:solidFill>
              <a:schemeClr val="tx1"/>
            </a:solidFill>
            <a:latin typeface="Aptos Display (Headings)"/>
          </a:endParaRPr>
        </a:p>
      </xdr:txBody>
    </xdr:sp>
    <xdr:clientData/>
  </xdr:twoCellAnchor>
  <xdr:twoCellAnchor>
    <xdr:from>
      <xdr:col>4</xdr:col>
      <xdr:colOff>415925</xdr:colOff>
      <xdr:row>18</xdr:row>
      <xdr:rowOff>92075</xdr:rowOff>
    </xdr:from>
    <xdr:to>
      <xdr:col>6</xdr:col>
      <xdr:colOff>323850</xdr:colOff>
      <xdr:row>20</xdr:row>
      <xdr:rowOff>168275</xdr:rowOff>
    </xdr:to>
    <xdr:sp macro="" textlink="gas_analysis!$F$10">
      <xdr:nvSpPr>
        <xdr:cNvPr id="47" name="TextBox 46">
          <a:extLst>
            <a:ext uri="{FF2B5EF4-FFF2-40B4-BE49-F238E27FC236}">
              <a16:creationId xmlns:a16="http://schemas.microsoft.com/office/drawing/2014/main" id="{3744860A-5694-4FCD-99AC-E830A3615B73}"/>
            </a:ext>
          </a:extLst>
        </xdr:cNvPr>
        <xdr:cNvSpPr txBox="1"/>
      </xdr:nvSpPr>
      <xdr:spPr>
        <a:xfrm>
          <a:off x="2854325" y="3521075"/>
          <a:ext cx="1127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1C3C1A-D90C-46AE-B3DE-0C9B566AC132}" type="TxLink">
            <a:rPr lang="en-US" sz="1400" b="1" i="0" u="none" strike="noStrike">
              <a:solidFill>
                <a:schemeClr val="tx1"/>
              </a:solidFill>
              <a:latin typeface="Aptos Display (Headings)"/>
            </a:rPr>
            <a:t>$655,056</a:t>
          </a:fld>
          <a:endParaRPr lang="en-US" sz="3200" b="1">
            <a:solidFill>
              <a:schemeClr val="tx1"/>
            </a:solidFill>
            <a:latin typeface="Aptos Display (Headings)"/>
          </a:endParaRPr>
        </a:p>
      </xdr:txBody>
    </xdr:sp>
    <xdr:clientData/>
  </xdr:twoCellAnchor>
  <xdr:twoCellAnchor>
    <xdr:from>
      <xdr:col>4</xdr:col>
      <xdr:colOff>415925</xdr:colOff>
      <xdr:row>20</xdr:row>
      <xdr:rowOff>180975</xdr:rowOff>
    </xdr:from>
    <xdr:to>
      <xdr:col>6</xdr:col>
      <xdr:colOff>323850</xdr:colOff>
      <xdr:row>23</xdr:row>
      <xdr:rowOff>66675</xdr:rowOff>
    </xdr:to>
    <xdr:sp macro="" textlink="gas_analysis!$F$11">
      <xdr:nvSpPr>
        <xdr:cNvPr id="48" name="TextBox 47">
          <a:extLst>
            <a:ext uri="{FF2B5EF4-FFF2-40B4-BE49-F238E27FC236}">
              <a16:creationId xmlns:a16="http://schemas.microsoft.com/office/drawing/2014/main" id="{3A36FD2E-877D-46FA-AA6E-8A6D5086F9C6}"/>
            </a:ext>
          </a:extLst>
        </xdr:cNvPr>
        <xdr:cNvSpPr txBox="1"/>
      </xdr:nvSpPr>
      <xdr:spPr>
        <a:xfrm>
          <a:off x="2854325" y="3990975"/>
          <a:ext cx="1127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793D17-12C4-4CD1-96CD-C6FDC1B79762}" type="TxLink">
            <a:rPr lang="en-US" sz="1400" b="1" i="0" u="none" strike="noStrike">
              <a:solidFill>
                <a:schemeClr val="tx1"/>
              </a:solidFill>
              <a:latin typeface="Aptos Display (Headings)"/>
            </a:rPr>
            <a:t>$825,905</a:t>
          </a:fld>
          <a:endParaRPr lang="en-US" sz="2400" b="1">
            <a:solidFill>
              <a:schemeClr val="tx1"/>
            </a:solidFill>
            <a:latin typeface="Aptos Display (Headings)"/>
          </a:endParaRPr>
        </a:p>
      </xdr:txBody>
    </xdr:sp>
    <xdr:clientData/>
  </xdr:twoCellAnchor>
  <xdr:twoCellAnchor>
    <xdr:from>
      <xdr:col>4</xdr:col>
      <xdr:colOff>415925</xdr:colOff>
      <xdr:row>23</xdr:row>
      <xdr:rowOff>79375</xdr:rowOff>
    </xdr:from>
    <xdr:to>
      <xdr:col>6</xdr:col>
      <xdr:colOff>352425</xdr:colOff>
      <xdr:row>25</xdr:row>
      <xdr:rowOff>155575</xdr:rowOff>
    </xdr:to>
    <xdr:sp macro="" textlink="gas_analysis!$F$12">
      <xdr:nvSpPr>
        <xdr:cNvPr id="49" name="TextBox 48">
          <a:extLst>
            <a:ext uri="{FF2B5EF4-FFF2-40B4-BE49-F238E27FC236}">
              <a16:creationId xmlns:a16="http://schemas.microsoft.com/office/drawing/2014/main" id="{9B1B20F7-B7AE-4859-8B0D-90F05451748E}"/>
            </a:ext>
          </a:extLst>
        </xdr:cNvPr>
        <xdr:cNvSpPr txBox="1"/>
      </xdr:nvSpPr>
      <xdr:spPr>
        <a:xfrm>
          <a:off x="2854325" y="4460875"/>
          <a:ext cx="11557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451103-A86C-4655-89BC-7F6D013A6452}" type="TxLink">
            <a:rPr lang="en-US" sz="1400" b="1" i="0" u="none" strike="noStrike">
              <a:solidFill>
                <a:schemeClr val="tx1"/>
              </a:solidFill>
              <a:latin typeface="Aptos Display (Headings)"/>
            </a:rPr>
            <a:t>$1,025,528</a:t>
          </a:fld>
          <a:endParaRPr lang="en-US" sz="2400" b="1">
            <a:solidFill>
              <a:schemeClr val="tx1"/>
            </a:solidFill>
            <a:latin typeface="Aptos Display (Headings)"/>
          </a:endParaRPr>
        </a:p>
      </xdr:txBody>
    </xdr:sp>
    <xdr:clientData/>
  </xdr:twoCellAnchor>
  <xdr:twoCellAnchor>
    <xdr:from>
      <xdr:col>6</xdr:col>
      <xdr:colOff>338137</xdr:colOff>
      <xdr:row>29</xdr:row>
      <xdr:rowOff>180975</xdr:rowOff>
    </xdr:from>
    <xdr:to>
      <xdr:col>8</xdr:col>
      <xdr:colOff>214312</xdr:colOff>
      <xdr:row>32</xdr:row>
      <xdr:rowOff>66675</xdr:rowOff>
    </xdr:to>
    <xdr:sp macro="" textlink="">
      <xdr:nvSpPr>
        <xdr:cNvPr id="50" name="TextBox 49">
          <a:extLst>
            <a:ext uri="{FF2B5EF4-FFF2-40B4-BE49-F238E27FC236}">
              <a16:creationId xmlns:a16="http://schemas.microsoft.com/office/drawing/2014/main" id="{8D8089FC-E8C4-46B3-A70E-09E372E8AE09}"/>
            </a:ext>
          </a:extLst>
        </xdr:cNvPr>
        <xdr:cNvSpPr txBox="1"/>
      </xdr:nvSpPr>
      <xdr:spPr>
        <a:xfrm>
          <a:off x="3995737" y="57054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rPr>
            <a:t>2016</a:t>
          </a:r>
        </a:p>
      </xdr:txBody>
    </xdr:sp>
    <xdr:clientData/>
  </xdr:twoCellAnchor>
  <xdr:twoCellAnchor>
    <xdr:from>
      <xdr:col>6</xdr:col>
      <xdr:colOff>338137</xdr:colOff>
      <xdr:row>32</xdr:row>
      <xdr:rowOff>79375</xdr:rowOff>
    </xdr:from>
    <xdr:to>
      <xdr:col>8</xdr:col>
      <xdr:colOff>214312</xdr:colOff>
      <xdr:row>34</xdr:row>
      <xdr:rowOff>155575</xdr:rowOff>
    </xdr:to>
    <xdr:sp macro="" textlink="">
      <xdr:nvSpPr>
        <xdr:cNvPr id="51" name="TextBox 50">
          <a:extLst>
            <a:ext uri="{FF2B5EF4-FFF2-40B4-BE49-F238E27FC236}">
              <a16:creationId xmlns:a16="http://schemas.microsoft.com/office/drawing/2014/main" id="{B2A13E1F-EC4F-43B5-BA75-D504CCBFF819}"/>
            </a:ext>
          </a:extLst>
        </xdr:cNvPr>
        <xdr:cNvSpPr txBox="1"/>
      </xdr:nvSpPr>
      <xdr:spPr>
        <a:xfrm>
          <a:off x="3995737" y="61753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rPr>
            <a:t>2017</a:t>
          </a:r>
        </a:p>
      </xdr:txBody>
    </xdr:sp>
    <xdr:clientData/>
  </xdr:twoCellAnchor>
  <xdr:twoCellAnchor>
    <xdr:from>
      <xdr:col>6</xdr:col>
      <xdr:colOff>338137</xdr:colOff>
      <xdr:row>34</xdr:row>
      <xdr:rowOff>168275</xdr:rowOff>
    </xdr:from>
    <xdr:to>
      <xdr:col>8</xdr:col>
      <xdr:colOff>214312</xdr:colOff>
      <xdr:row>37</xdr:row>
      <xdr:rowOff>53975</xdr:rowOff>
    </xdr:to>
    <xdr:sp macro="" textlink="">
      <xdr:nvSpPr>
        <xdr:cNvPr id="52" name="TextBox 51">
          <a:extLst>
            <a:ext uri="{FF2B5EF4-FFF2-40B4-BE49-F238E27FC236}">
              <a16:creationId xmlns:a16="http://schemas.microsoft.com/office/drawing/2014/main" id="{0AD4436B-7488-42C2-AF54-FCE961B9DE10}"/>
            </a:ext>
          </a:extLst>
        </xdr:cNvPr>
        <xdr:cNvSpPr txBox="1"/>
      </xdr:nvSpPr>
      <xdr:spPr>
        <a:xfrm>
          <a:off x="3995737" y="66452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rPr>
            <a:t>2018</a:t>
          </a:r>
        </a:p>
      </xdr:txBody>
    </xdr:sp>
    <xdr:clientData/>
  </xdr:twoCellAnchor>
  <xdr:twoCellAnchor>
    <xdr:from>
      <xdr:col>6</xdr:col>
      <xdr:colOff>338137</xdr:colOff>
      <xdr:row>37</xdr:row>
      <xdr:rowOff>66675</xdr:rowOff>
    </xdr:from>
    <xdr:to>
      <xdr:col>8</xdr:col>
      <xdr:colOff>214312</xdr:colOff>
      <xdr:row>39</xdr:row>
      <xdr:rowOff>142875</xdr:rowOff>
    </xdr:to>
    <xdr:sp macro="" textlink="">
      <xdr:nvSpPr>
        <xdr:cNvPr id="53" name="TextBox 52">
          <a:extLst>
            <a:ext uri="{FF2B5EF4-FFF2-40B4-BE49-F238E27FC236}">
              <a16:creationId xmlns:a16="http://schemas.microsoft.com/office/drawing/2014/main" id="{0D92B011-585B-4F6E-A1F2-CCA875A4CF2A}"/>
            </a:ext>
          </a:extLst>
        </xdr:cNvPr>
        <xdr:cNvSpPr txBox="1"/>
      </xdr:nvSpPr>
      <xdr:spPr>
        <a:xfrm>
          <a:off x="3995737" y="711517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ptos ExtraBold" panose="020B0004020202020204" pitchFamily="34" charset="0"/>
            </a:rPr>
            <a:t>2019</a:t>
          </a:r>
        </a:p>
      </xdr:txBody>
    </xdr:sp>
    <xdr:clientData/>
  </xdr:twoCellAnchor>
  <xdr:twoCellAnchor>
    <xdr:from>
      <xdr:col>4</xdr:col>
      <xdr:colOff>406399</xdr:colOff>
      <xdr:row>29</xdr:row>
      <xdr:rowOff>174625</xdr:rowOff>
    </xdr:from>
    <xdr:to>
      <xdr:col>6</xdr:col>
      <xdr:colOff>323850</xdr:colOff>
      <xdr:row>32</xdr:row>
      <xdr:rowOff>60325</xdr:rowOff>
    </xdr:to>
    <xdr:sp macro="" textlink="gas_analysis!$C$9">
      <xdr:nvSpPr>
        <xdr:cNvPr id="54" name="TextBox 53">
          <a:extLst>
            <a:ext uri="{FF2B5EF4-FFF2-40B4-BE49-F238E27FC236}">
              <a16:creationId xmlns:a16="http://schemas.microsoft.com/office/drawing/2014/main" id="{523B566F-4E51-4313-8E20-8F0B7912236B}"/>
            </a:ext>
          </a:extLst>
        </xdr:cNvPr>
        <xdr:cNvSpPr txBox="1"/>
      </xdr:nvSpPr>
      <xdr:spPr>
        <a:xfrm>
          <a:off x="2844799" y="5699125"/>
          <a:ext cx="113665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566D59-8DE6-45F7-AE2F-1D3D0F337EA6}" type="TxLink">
            <a:rPr lang="en-US" sz="1400" b="1" i="0" u="none" strike="noStrike">
              <a:solidFill>
                <a:schemeClr val="tx1"/>
              </a:solidFill>
              <a:latin typeface="Aptos Display (Headings)"/>
            </a:rPr>
            <a:t>504,523 m³</a:t>
          </a:fld>
          <a:endParaRPr lang="en-US" sz="1600" b="1">
            <a:solidFill>
              <a:schemeClr val="tx1"/>
            </a:solidFill>
            <a:latin typeface="Aptos Display (Headings)"/>
          </a:endParaRPr>
        </a:p>
      </xdr:txBody>
    </xdr:sp>
    <xdr:clientData/>
  </xdr:twoCellAnchor>
  <xdr:twoCellAnchor>
    <xdr:from>
      <xdr:col>4</xdr:col>
      <xdr:colOff>406399</xdr:colOff>
      <xdr:row>32</xdr:row>
      <xdr:rowOff>73025</xdr:rowOff>
    </xdr:from>
    <xdr:to>
      <xdr:col>6</xdr:col>
      <xdr:colOff>282574</xdr:colOff>
      <xdr:row>34</xdr:row>
      <xdr:rowOff>149225</xdr:rowOff>
    </xdr:to>
    <xdr:sp macro="" textlink="gas_analysis!$C$10">
      <xdr:nvSpPr>
        <xdr:cNvPr id="55" name="TextBox 54">
          <a:extLst>
            <a:ext uri="{FF2B5EF4-FFF2-40B4-BE49-F238E27FC236}">
              <a16:creationId xmlns:a16="http://schemas.microsoft.com/office/drawing/2014/main" id="{D5DACEC1-951F-4A59-85CB-2E10B459CF8F}"/>
            </a:ext>
          </a:extLst>
        </xdr:cNvPr>
        <xdr:cNvSpPr txBox="1"/>
      </xdr:nvSpPr>
      <xdr:spPr>
        <a:xfrm>
          <a:off x="2844799" y="61690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5C8DB1-EECB-476B-859A-81BDF8F1D0F3}" type="TxLink">
            <a:rPr lang="en-US" sz="1400" b="1" i="0" u="none" strike="noStrike">
              <a:solidFill>
                <a:schemeClr val="tx1"/>
              </a:solidFill>
              <a:latin typeface="Aptos Display (Headings)"/>
            </a:rPr>
            <a:t>595,505 m³</a:t>
          </a:fld>
          <a:endParaRPr lang="en-US" sz="2400" b="1">
            <a:solidFill>
              <a:schemeClr val="tx1"/>
            </a:solidFill>
            <a:latin typeface="Aptos Display (Headings)"/>
          </a:endParaRPr>
        </a:p>
      </xdr:txBody>
    </xdr:sp>
    <xdr:clientData/>
  </xdr:twoCellAnchor>
  <xdr:twoCellAnchor>
    <xdr:from>
      <xdr:col>4</xdr:col>
      <xdr:colOff>406399</xdr:colOff>
      <xdr:row>34</xdr:row>
      <xdr:rowOff>161925</xdr:rowOff>
    </xdr:from>
    <xdr:to>
      <xdr:col>6</xdr:col>
      <xdr:colOff>282574</xdr:colOff>
      <xdr:row>37</xdr:row>
      <xdr:rowOff>47625</xdr:rowOff>
    </xdr:to>
    <xdr:sp macro="" textlink="gas_analysis!$C$11">
      <xdr:nvSpPr>
        <xdr:cNvPr id="56" name="TextBox 55">
          <a:extLst>
            <a:ext uri="{FF2B5EF4-FFF2-40B4-BE49-F238E27FC236}">
              <a16:creationId xmlns:a16="http://schemas.microsoft.com/office/drawing/2014/main" id="{42F20AE6-BCD4-4A34-9663-B50152483482}"/>
            </a:ext>
          </a:extLst>
        </xdr:cNvPr>
        <xdr:cNvSpPr txBox="1"/>
      </xdr:nvSpPr>
      <xdr:spPr>
        <a:xfrm>
          <a:off x="2844799" y="66389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A99358-F277-47DC-B419-3E13784134AB}" type="TxLink">
            <a:rPr lang="en-US" sz="1400" b="1" i="0" u="none" strike="noStrike">
              <a:solidFill>
                <a:schemeClr val="tx1"/>
              </a:solidFill>
              <a:latin typeface="Aptos Display (Headings)"/>
            </a:rPr>
            <a:t>682,566 m³</a:t>
          </a:fld>
          <a:endParaRPr lang="en-US" sz="2400" b="1">
            <a:solidFill>
              <a:schemeClr val="tx1"/>
            </a:solidFill>
            <a:latin typeface="Aptos Display (Headings)"/>
          </a:endParaRPr>
        </a:p>
      </xdr:txBody>
    </xdr:sp>
    <xdr:clientData/>
  </xdr:twoCellAnchor>
  <xdr:twoCellAnchor>
    <xdr:from>
      <xdr:col>4</xdr:col>
      <xdr:colOff>406399</xdr:colOff>
      <xdr:row>37</xdr:row>
      <xdr:rowOff>60325</xdr:rowOff>
    </xdr:from>
    <xdr:to>
      <xdr:col>6</xdr:col>
      <xdr:colOff>282574</xdr:colOff>
      <xdr:row>39</xdr:row>
      <xdr:rowOff>136525</xdr:rowOff>
    </xdr:to>
    <xdr:sp macro="" textlink="gas_analysis!$C$12">
      <xdr:nvSpPr>
        <xdr:cNvPr id="57" name="TextBox 56">
          <a:extLst>
            <a:ext uri="{FF2B5EF4-FFF2-40B4-BE49-F238E27FC236}">
              <a16:creationId xmlns:a16="http://schemas.microsoft.com/office/drawing/2014/main" id="{2C41BC20-BC0A-4908-BB04-4B9E0B44D851}"/>
            </a:ext>
          </a:extLst>
        </xdr:cNvPr>
        <xdr:cNvSpPr txBox="1"/>
      </xdr:nvSpPr>
      <xdr:spPr>
        <a:xfrm>
          <a:off x="2844799" y="71088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986CA7-DCAD-44BA-813F-9A8424DC4294}" type="TxLink">
            <a:rPr lang="en-US" sz="1400" b="1" i="0" u="none" strike="noStrike">
              <a:solidFill>
                <a:schemeClr val="tx1"/>
              </a:solidFill>
              <a:latin typeface="Aptos Display (Headings)"/>
            </a:rPr>
            <a:t>770,494 m³</a:t>
          </a:fld>
          <a:endParaRPr lang="en-US" sz="2400" b="1">
            <a:solidFill>
              <a:schemeClr val="tx1"/>
            </a:solidFill>
            <a:latin typeface="Aptos Display (Headings)"/>
          </a:endParaRPr>
        </a:p>
      </xdr:txBody>
    </xdr:sp>
    <xdr:clientData/>
  </xdr:twoCellAnchor>
  <xdr:twoCellAnchor>
    <xdr:from>
      <xdr:col>4</xdr:col>
      <xdr:colOff>371475</xdr:colOff>
      <xdr:row>13</xdr:row>
      <xdr:rowOff>133349</xdr:rowOff>
    </xdr:from>
    <xdr:to>
      <xdr:col>8</xdr:col>
      <xdr:colOff>190500</xdr:colOff>
      <xdr:row>15</xdr:row>
      <xdr:rowOff>117474</xdr:rowOff>
    </xdr:to>
    <xdr:sp macro="" textlink="">
      <xdr:nvSpPr>
        <xdr:cNvPr id="59" name="TextBox 58">
          <a:extLst>
            <a:ext uri="{FF2B5EF4-FFF2-40B4-BE49-F238E27FC236}">
              <a16:creationId xmlns:a16="http://schemas.microsoft.com/office/drawing/2014/main" id="{B2EDA233-D8E3-4797-8F79-AD1FCBEA6420}"/>
            </a:ext>
          </a:extLst>
        </xdr:cNvPr>
        <xdr:cNvSpPr txBox="1"/>
      </xdr:nvSpPr>
      <xdr:spPr>
        <a:xfrm>
          <a:off x="2809875" y="2609849"/>
          <a:ext cx="22574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Constantia" panose="02030602050306030303" pitchFamily="18" charset="0"/>
            </a:rPr>
            <a:t>Financial</a:t>
          </a:r>
          <a:r>
            <a:rPr lang="en-US" sz="1400" b="1" baseline="0">
              <a:solidFill>
                <a:schemeClr val="tx1"/>
              </a:solidFill>
              <a:latin typeface="Constantia" panose="02030602050306030303" pitchFamily="18" charset="0"/>
            </a:rPr>
            <a:t> Outflow</a:t>
          </a:r>
          <a:endParaRPr lang="en-US" sz="1400" b="1">
            <a:solidFill>
              <a:schemeClr val="tx1"/>
            </a:solidFill>
            <a:latin typeface="Constantia" panose="02030602050306030303" pitchFamily="18" charset="0"/>
          </a:endParaRPr>
        </a:p>
      </xdr:txBody>
    </xdr:sp>
    <xdr:clientData/>
  </xdr:twoCellAnchor>
  <xdr:twoCellAnchor>
    <xdr:from>
      <xdr:col>4</xdr:col>
      <xdr:colOff>285750</xdr:colOff>
      <xdr:row>27</xdr:row>
      <xdr:rowOff>95249</xdr:rowOff>
    </xdr:from>
    <xdr:to>
      <xdr:col>8</xdr:col>
      <xdr:colOff>219075</xdr:colOff>
      <xdr:row>29</xdr:row>
      <xdr:rowOff>79374</xdr:rowOff>
    </xdr:to>
    <xdr:sp macro="" textlink="">
      <xdr:nvSpPr>
        <xdr:cNvPr id="60" name="TextBox 59">
          <a:extLst>
            <a:ext uri="{FF2B5EF4-FFF2-40B4-BE49-F238E27FC236}">
              <a16:creationId xmlns:a16="http://schemas.microsoft.com/office/drawing/2014/main" id="{A46BBB1A-F265-4B5C-B2BF-D51EBDB1E80E}"/>
            </a:ext>
          </a:extLst>
        </xdr:cNvPr>
        <xdr:cNvSpPr txBox="1"/>
      </xdr:nvSpPr>
      <xdr:spPr>
        <a:xfrm>
          <a:off x="2724150" y="5238749"/>
          <a:ext cx="23717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Constantia" panose="02030602050306030303" pitchFamily="18" charset="0"/>
            </a:rPr>
            <a:t>Yearly</a:t>
          </a:r>
          <a:r>
            <a:rPr lang="en-US" sz="1400" b="1" baseline="0">
              <a:solidFill>
                <a:schemeClr val="tx1"/>
              </a:solidFill>
              <a:latin typeface="Constantia" panose="02030602050306030303" pitchFamily="18" charset="0"/>
            </a:rPr>
            <a:t> Gas Flow</a:t>
          </a:r>
          <a:endParaRPr lang="en-US" sz="1400" b="1">
            <a:solidFill>
              <a:schemeClr val="tx1"/>
            </a:solidFill>
            <a:latin typeface="Constantia" panose="02030602050306030303" pitchFamily="18" charset="0"/>
          </a:endParaRPr>
        </a:p>
      </xdr:txBody>
    </xdr:sp>
    <xdr:clientData/>
  </xdr:twoCellAnchor>
  <xdr:twoCellAnchor editAs="oneCell">
    <xdr:from>
      <xdr:col>7</xdr:col>
      <xdr:colOff>514350</xdr:colOff>
      <xdr:row>8</xdr:row>
      <xdr:rowOff>19050</xdr:rowOff>
    </xdr:from>
    <xdr:to>
      <xdr:col>8</xdr:col>
      <xdr:colOff>453390</xdr:colOff>
      <xdr:row>10</xdr:row>
      <xdr:rowOff>186690</xdr:rowOff>
    </xdr:to>
    <xdr:pic>
      <xdr:nvPicPr>
        <xdr:cNvPr id="61" name="Graphic 60" descr="Dollar with solid fill">
          <a:extLst>
            <a:ext uri="{FF2B5EF4-FFF2-40B4-BE49-F238E27FC236}">
              <a16:creationId xmlns:a16="http://schemas.microsoft.com/office/drawing/2014/main" id="{8B78D638-816F-47F6-ADA9-3F22E929CB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81550" y="1543050"/>
          <a:ext cx="548640" cy="548640"/>
        </a:xfrm>
        <a:prstGeom prst="rect">
          <a:avLst/>
        </a:prstGeom>
      </xdr:spPr>
    </xdr:pic>
    <xdr:clientData/>
  </xdr:twoCellAnchor>
  <xdr:twoCellAnchor editAs="oneCell">
    <xdr:from>
      <xdr:col>0</xdr:col>
      <xdr:colOff>119025</xdr:colOff>
      <xdr:row>8</xdr:row>
      <xdr:rowOff>71400</xdr:rowOff>
    </xdr:from>
    <xdr:to>
      <xdr:col>1</xdr:col>
      <xdr:colOff>295275</xdr:colOff>
      <xdr:row>12</xdr:row>
      <xdr:rowOff>95250</xdr:rowOff>
    </xdr:to>
    <xdr:pic>
      <xdr:nvPicPr>
        <xdr:cNvPr id="62" name="Graphic 61" descr="Building with solid fill">
          <a:extLst>
            <a:ext uri="{FF2B5EF4-FFF2-40B4-BE49-F238E27FC236}">
              <a16:creationId xmlns:a16="http://schemas.microsoft.com/office/drawing/2014/main" id="{47C4B4BF-E5D1-4389-8E27-F28199B88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025" y="1595400"/>
          <a:ext cx="785850" cy="785850"/>
        </a:xfrm>
        <a:prstGeom prst="rect">
          <a:avLst/>
        </a:prstGeom>
      </xdr:spPr>
    </xdr:pic>
    <xdr:clientData/>
  </xdr:twoCellAnchor>
  <xdr:twoCellAnchor>
    <xdr:from>
      <xdr:col>1</xdr:col>
      <xdr:colOff>127789</xdr:colOff>
      <xdr:row>8</xdr:row>
      <xdr:rowOff>52388</xdr:rowOff>
    </xdr:from>
    <xdr:to>
      <xdr:col>2</xdr:col>
      <xdr:colOff>511964</xdr:colOff>
      <xdr:row>9</xdr:row>
      <xdr:rowOff>131763</xdr:rowOff>
    </xdr:to>
    <xdr:sp macro="" textlink="">
      <xdr:nvSpPr>
        <xdr:cNvPr id="63" name="TextBox 62">
          <a:extLst>
            <a:ext uri="{FF2B5EF4-FFF2-40B4-BE49-F238E27FC236}">
              <a16:creationId xmlns:a16="http://schemas.microsoft.com/office/drawing/2014/main" id="{9A0766DD-9ED9-43E7-B972-85E5AF16990A}"/>
            </a:ext>
          </a:extLst>
        </xdr:cNvPr>
        <xdr:cNvSpPr txBox="1"/>
      </xdr:nvSpPr>
      <xdr:spPr>
        <a:xfrm>
          <a:off x="737389" y="1576388"/>
          <a:ext cx="9937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onstantia" panose="02030602050306030303" pitchFamily="18" charset="0"/>
            </a:rPr>
            <a:t>Buildings</a:t>
          </a:r>
        </a:p>
      </xdr:txBody>
    </xdr:sp>
    <xdr:clientData/>
  </xdr:twoCellAnchor>
  <xdr:twoCellAnchor>
    <xdr:from>
      <xdr:col>3</xdr:col>
      <xdr:colOff>111009</xdr:colOff>
      <xdr:row>8</xdr:row>
      <xdr:rowOff>52388</xdr:rowOff>
    </xdr:from>
    <xdr:to>
      <xdr:col>5</xdr:col>
      <xdr:colOff>95251</xdr:colOff>
      <xdr:row>9</xdr:row>
      <xdr:rowOff>131763</xdr:rowOff>
    </xdr:to>
    <xdr:sp macro="" textlink="">
      <xdr:nvSpPr>
        <xdr:cNvPr id="64" name="TextBox 63">
          <a:extLst>
            <a:ext uri="{FF2B5EF4-FFF2-40B4-BE49-F238E27FC236}">
              <a16:creationId xmlns:a16="http://schemas.microsoft.com/office/drawing/2014/main" id="{9DE11348-8573-4D38-BBC0-B431E4B5B2E3}"/>
            </a:ext>
          </a:extLst>
        </xdr:cNvPr>
        <xdr:cNvSpPr txBox="1"/>
      </xdr:nvSpPr>
      <xdr:spPr>
        <a:xfrm>
          <a:off x="1939809" y="1576388"/>
          <a:ext cx="1203442"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onstantia" panose="02030602050306030303" pitchFamily="18" charset="0"/>
            </a:rPr>
            <a:t>Consumption</a:t>
          </a:r>
        </a:p>
      </xdr:txBody>
    </xdr:sp>
    <xdr:clientData/>
  </xdr:twoCellAnchor>
  <xdr:twoCellAnchor>
    <xdr:from>
      <xdr:col>6</xdr:col>
      <xdr:colOff>400052</xdr:colOff>
      <xdr:row>8</xdr:row>
      <xdr:rowOff>52388</xdr:rowOff>
    </xdr:from>
    <xdr:to>
      <xdr:col>7</xdr:col>
      <xdr:colOff>485776</xdr:colOff>
      <xdr:row>9</xdr:row>
      <xdr:rowOff>131763</xdr:rowOff>
    </xdr:to>
    <xdr:sp macro="" textlink="">
      <xdr:nvSpPr>
        <xdr:cNvPr id="65" name="TextBox 64">
          <a:extLst>
            <a:ext uri="{FF2B5EF4-FFF2-40B4-BE49-F238E27FC236}">
              <a16:creationId xmlns:a16="http://schemas.microsoft.com/office/drawing/2014/main" id="{FE151A7E-1D9D-4248-B4F7-12F0963BC27E}"/>
            </a:ext>
          </a:extLst>
        </xdr:cNvPr>
        <xdr:cNvSpPr txBox="1"/>
      </xdr:nvSpPr>
      <xdr:spPr>
        <a:xfrm>
          <a:off x="4057652" y="1576388"/>
          <a:ext cx="695324"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onstantia" panose="02030602050306030303" pitchFamily="18" charset="0"/>
            </a:rPr>
            <a:t>Bills</a:t>
          </a:r>
        </a:p>
      </xdr:txBody>
    </xdr:sp>
    <xdr:clientData/>
  </xdr:twoCellAnchor>
  <xdr:twoCellAnchor>
    <xdr:from>
      <xdr:col>1</xdr:col>
      <xdr:colOff>94451</xdr:colOff>
      <xdr:row>10</xdr:row>
      <xdr:rowOff>85726</xdr:rowOff>
    </xdr:from>
    <xdr:to>
      <xdr:col>2</xdr:col>
      <xdr:colOff>545301</xdr:colOff>
      <xdr:row>12</xdr:row>
      <xdr:rowOff>85726</xdr:rowOff>
    </xdr:to>
    <xdr:sp macro="" textlink="gas_analysis!$A$5">
      <xdr:nvSpPr>
        <xdr:cNvPr id="66" name="TextBox 65">
          <a:extLst>
            <a:ext uri="{FF2B5EF4-FFF2-40B4-BE49-F238E27FC236}">
              <a16:creationId xmlns:a16="http://schemas.microsoft.com/office/drawing/2014/main" id="{BA432704-49C5-4CD1-B696-B1F7E09C90DD}"/>
            </a:ext>
          </a:extLst>
        </xdr:cNvPr>
        <xdr:cNvSpPr txBox="1"/>
      </xdr:nvSpPr>
      <xdr:spPr>
        <a:xfrm>
          <a:off x="704051" y="1990726"/>
          <a:ext cx="10604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B292C1-4522-47A9-9092-8F4F2FD12725}" type="TxLink">
            <a:rPr lang="en-US" sz="2000" b="1" i="0" u="none" strike="noStrike">
              <a:solidFill>
                <a:srgbClr val="000000"/>
              </a:solidFill>
              <a:latin typeface="Aptos Narrow"/>
            </a:rPr>
            <a:t>11</a:t>
          </a:fld>
          <a:endParaRPr lang="en-US" sz="4000" b="1">
            <a:latin typeface="Constantia" panose="02030602050306030303" pitchFamily="18" charset="0"/>
          </a:endParaRPr>
        </a:p>
      </xdr:txBody>
    </xdr:sp>
    <xdr:clientData/>
  </xdr:twoCellAnchor>
  <xdr:twoCellAnchor>
    <xdr:from>
      <xdr:col>3</xdr:col>
      <xdr:colOff>152400</xdr:colOff>
      <xdr:row>10</xdr:row>
      <xdr:rowOff>38100</xdr:rowOff>
    </xdr:from>
    <xdr:to>
      <xdr:col>5</xdr:col>
      <xdr:colOff>523875</xdr:colOff>
      <xdr:row>11</xdr:row>
      <xdr:rowOff>117475</xdr:rowOff>
    </xdr:to>
    <xdr:sp macro="" textlink="gas_analysis!$C$5">
      <xdr:nvSpPr>
        <xdr:cNvPr id="67" name="TextBox 66">
          <a:extLst>
            <a:ext uri="{FF2B5EF4-FFF2-40B4-BE49-F238E27FC236}">
              <a16:creationId xmlns:a16="http://schemas.microsoft.com/office/drawing/2014/main" id="{962E83C1-D64E-4EAA-AA30-FA09C519837E}"/>
            </a:ext>
          </a:extLst>
        </xdr:cNvPr>
        <xdr:cNvSpPr txBox="1"/>
      </xdr:nvSpPr>
      <xdr:spPr>
        <a:xfrm>
          <a:off x="1981200" y="1943100"/>
          <a:ext cx="15906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4308F1F-8E9C-46B9-84E3-763AC924EC77}" type="TxLink">
            <a:rPr lang="en-US" sz="1200" b="1" i="0" u="none" strike="noStrike">
              <a:solidFill>
                <a:srgbClr val="000000"/>
              </a:solidFill>
              <a:latin typeface="Aptos Narrow"/>
            </a:rPr>
            <a:t>Total: 2.55M m³</a:t>
          </a:fld>
          <a:endParaRPr lang="en-US" sz="2000" b="1">
            <a:latin typeface="Constantia" panose="02030602050306030303" pitchFamily="18" charset="0"/>
          </a:endParaRPr>
        </a:p>
      </xdr:txBody>
    </xdr:sp>
    <xdr:clientData/>
  </xdr:twoCellAnchor>
  <xdr:twoCellAnchor>
    <xdr:from>
      <xdr:col>6</xdr:col>
      <xdr:colOff>123826</xdr:colOff>
      <xdr:row>10</xdr:row>
      <xdr:rowOff>38100</xdr:rowOff>
    </xdr:from>
    <xdr:to>
      <xdr:col>8</xdr:col>
      <xdr:colOff>66675</xdr:colOff>
      <xdr:row>11</xdr:row>
      <xdr:rowOff>117475</xdr:rowOff>
    </xdr:to>
    <xdr:sp macro="" textlink="gas_analysis!$F$5">
      <xdr:nvSpPr>
        <xdr:cNvPr id="68" name="TextBox 67">
          <a:extLst>
            <a:ext uri="{FF2B5EF4-FFF2-40B4-BE49-F238E27FC236}">
              <a16:creationId xmlns:a16="http://schemas.microsoft.com/office/drawing/2014/main" id="{8CF081AD-F76F-4609-BEAC-6534B2A27534}"/>
            </a:ext>
          </a:extLst>
        </xdr:cNvPr>
        <xdr:cNvSpPr txBox="1"/>
      </xdr:nvSpPr>
      <xdr:spPr>
        <a:xfrm>
          <a:off x="3781426" y="1943100"/>
          <a:ext cx="116204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9B4C7E1-9ABE-410F-9324-8851987CF837}" type="TxLink">
            <a:rPr lang="en-US" sz="1200" b="1" i="0" u="none" strike="noStrike">
              <a:solidFill>
                <a:srgbClr val="000000"/>
              </a:solidFill>
              <a:latin typeface="Aptos Narrow"/>
            </a:rPr>
            <a:t>Total: $3.01M</a:t>
          </a:fld>
          <a:endParaRPr lang="en-US" sz="2000" b="1">
            <a:latin typeface="Constantia" panose="02030602050306030303" pitchFamily="18" charset="0"/>
          </a:endParaRPr>
        </a:p>
      </xdr:txBody>
    </xdr:sp>
    <xdr:clientData/>
  </xdr:twoCellAnchor>
  <xdr:twoCellAnchor>
    <xdr:from>
      <xdr:col>6</xdr:col>
      <xdr:colOff>123826</xdr:colOff>
      <xdr:row>11</xdr:row>
      <xdr:rowOff>85725</xdr:rowOff>
    </xdr:from>
    <xdr:to>
      <xdr:col>8</xdr:col>
      <xdr:colOff>457200</xdr:colOff>
      <xdr:row>12</xdr:row>
      <xdr:rowOff>165100</xdr:rowOff>
    </xdr:to>
    <xdr:sp macro="" textlink="gas_analysis!$L$5">
      <xdr:nvSpPr>
        <xdr:cNvPr id="69" name="TextBox 68">
          <a:extLst>
            <a:ext uri="{FF2B5EF4-FFF2-40B4-BE49-F238E27FC236}">
              <a16:creationId xmlns:a16="http://schemas.microsoft.com/office/drawing/2014/main" id="{CF0FE8D3-1CC1-4EEC-B511-524C6BEB09ED}"/>
            </a:ext>
          </a:extLst>
        </xdr:cNvPr>
        <xdr:cNvSpPr txBox="1"/>
      </xdr:nvSpPr>
      <xdr:spPr>
        <a:xfrm>
          <a:off x="3781426" y="2181225"/>
          <a:ext cx="1552574"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70EF2F-2B76-468E-B397-75CB50BA7AD0}" type="TxLink">
            <a:rPr lang="en-US" sz="1100" b="1" i="0" u="none" strike="noStrike">
              <a:solidFill>
                <a:schemeClr val="tx1">
                  <a:lumMod val="65000"/>
                  <a:lumOff val="35000"/>
                </a:schemeClr>
              </a:solidFill>
              <a:latin typeface="Aptos Narrow"/>
            </a:rPr>
            <a:t>Avg: $5.70K</a:t>
          </a:fld>
          <a:endParaRPr lang="en-US" sz="1400" b="1">
            <a:solidFill>
              <a:schemeClr val="tx1">
                <a:lumMod val="65000"/>
                <a:lumOff val="35000"/>
              </a:schemeClr>
            </a:solidFill>
            <a:latin typeface="Constantia" panose="02030602050306030303" pitchFamily="18" charset="0"/>
          </a:endParaRPr>
        </a:p>
      </xdr:txBody>
    </xdr:sp>
    <xdr:clientData/>
  </xdr:twoCellAnchor>
  <xdr:twoCellAnchor>
    <xdr:from>
      <xdr:col>3</xdr:col>
      <xdr:colOff>152400</xdr:colOff>
      <xdr:row>11</xdr:row>
      <xdr:rowOff>114299</xdr:rowOff>
    </xdr:from>
    <xdr:to>
      <xdr:col>5</xdr:col>
      <xdr:colOff>552450</xdr:colOff>
      <xdr:row>12</xdr:row>
      <xdr:rowOff>165100</xdr:rowOff>
    </xdr:to>
    <xdr:sp macro="" textlink="gas_analysis!$I$5">
      <xdr:nvSpPr>
        <xdr:cNvPr id="70" name="TextBox 69">
          <a:extLst>
            <a:ext uri="{FF2B5EF4-FFF2-40B4-BE49-F238E27FC236}">
              <a16:creationId xmlns:a16="http://schemas.microsoft.com/office/drawing/2014/main" id="{5270AC61-49F3-4CE4-8258-BF116A334538}"/>
            </a:ext>
          </a:extLst>
        </xdr:cNvPr>
        <xdr:cNvSpPr txBox="1"/>
      </xdr:nvSpPr>
      <xdr:spPr>
        <a:xfrm>
          <a:off x="1981200" y="2209799"/>
          <a:ext cx="1619250" cy="24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07DE8AF-CC57-46FB-BB8F-ECF331865660}" type="TxLink">
            <a:rPr lang="en-US" sz="1100" b="1" i="0" u="none" strike="noStrike">
              <a:solidFill>
                <a:schemeClr val="tx1">
                  <a:lumMod val="65000"/>
                  <a:lumOff val="35000"/>
                </a:schemeClr>
              </a:solidFill>
              <a:latin typeface="Aptos Narrow"/>
            </a:rPr>
            <a:t>Avg: 4.84k m³</a:t>
          </a:fld>
          <a:endParaRPr lang="en-US" sz="1400" b="1">
            <a:solidFill>
              <a:schemeClr val="tx1">
                <a:lumMod val="65000"/>
                <a:lumOff val="35000"/>
              </a:schemeClr>
            </a:solidFill>
            <a:latin typeface="Constantia" panose="02030602050306030303" pitchFamily="18" charset="0"/>
          </a:endParaRPr>
        </a:p>
      </xdr:txBody>
    </xdr:sp>
    <xdr:clientData/>
  </xdr:twoCellAnchor>
  <xdr:twoCellAnchor editAs="oneCell">
    <xdr:from>
      <xdr:col>4</xdr:col>
      <xdr:colOff>590550</xdr:colOff>
      <xdr:row>8</xdr:row>
      <xdr:rowOff>19050</xdr:rowOff>
    </xdr:from>
    <xdr:to>
      <xdr:col>5</xdr:col>
      <xdr:colOff>529590</xdr:colOff>
      <xdr:row>10</xdr:row>
      <xdr:rowOff>186690</xdr:rowOff>
    </xdr:to>
    <xdr:pic>
      <xdr:nvPicPr>
        <xdr:cNvPr id="71" name="Graphic 70" descr="Gauge with solid fill">
          <a:extLst>
            <a:ext uri="{FF2B5EF4-FFF2-40B4-BE49-F238E27FC236}">
              <a16:creationId xmlns:a16="http://schemas.microsoft.com/office/drawing/2014/main" id="{C9476D03-EA74-4143-9502-3C389EE869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28950" y="1543050"/>
          <a:ext cx="548640" cy="548640"/>
        </a:xfrm>
        <a:prstGeom prst="rect">
          <a:avLst/>
        </a:prstGeom>
      </xdr:spPr>
    </xdr:pic>
    <xdr:clientData/>
  </xdr:twoCellAnchor>
  <xdr:twoCellAnchor>
    <xdr:from>
      <xdr:col>15</xdr:col>
      <xdr:colOff>600075</xdr:colOff>
      <xdr:row>3</xdr:row>
      <xdr:rowOff>189308</xdr:rowOff>
    </xdr:from>
    <xdr:to>
      <xdr:col>17</xdr:col>
      <xdr:colOff>400050</xdr:colOff>
      <xdr:row>6</xdr:row>
      <xdr:rowOff>75008</xdr:rowOff>
    </xdr:to>
    <xdr:grpSp>
      <xdr:nvGrpSpPr>
        <xdr:cNvPr id="14344" name="Group 14343">
          <a:hlinkClick xmlns:r="http://schemas.openxmlformats.org/officeDocument/2006/relationships" r:id="rId7"/>
          <a:extLst>
            <a:ext uri="{FF2B5EF4-FFF2-40B4-BE49-F238E27FC236}">
              <a16:creationId xmlns:a16="http://schemas.microsoft.com/office/drawing/2014/main" id="{3A9F7CB0-3B9E-5315-91C8-B398E1DB724A}"/>
            </a:ext>
          </a:extLst>
        </xdr:cNvPr>
        <xdr:cNvGrpSpPr/>
      </xdr:nvGrpSpPr>
      <xdr:grpSpPr>
        <a:xfrm>
          <a:off x="9744075" y="760808"/>
          <a:ext cx="1019175" cy="457200"/>
          <a:chOff x="9744075" y="760808"/>
          <a:chExt cx="1019175" cy="457200"/>
        </a:xfrm>
      </xdr:grpSpPr>
      <xdr:sp macro="" textlink="">
        <xdr:nvSpPr>
          <xdr:cNvPr id="74" name="Flowchart: Terminator 73">
            <a:extLst>
              <a:ext uri="{FF2B5EF4-FFF2-40B4-BE49-F238E27FC236}">
                <a16:creationId xmlns:a16="http://schemas.microsoft.com/office/drawing/2014/main" id="{C3B72707-064A-4BA3-B82E-C202539F126D}"/>
              </a:ext>
            </a:extLst>
          </xdr:cNvPr>
          <xdr:cNvSpPr/>
        </xdr:nvSpPr>
        <xdr:spPr>
          <a:xfrm>
            <a:off x="9744075" y="760808"/>
            <a:ext cx="1019175" cy="457200"/>
          </a:xfrm>
          <a:prstGeom prst="flowChartTerminator">
            <a:avLst/>
          </a:prstGeom>
          <a:solidFill>
            <a:srgbClr val="FFFF00"/>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8" name="Graphic 77" descr="Electric Tower with solid fill">
            <a:extLst>
              <a:ext uri="{FF2B5EF4-FFF2-40B4-BE49-F238E27FC236}">
                <a16:creationId xmlns:a16="http://schemas.microsoft.com/office/drawing/2014/main" id="{FD563B8B-BA4D-4ABA-94DD-DEC1383A812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089070" y="830770"/>
            <a:ext cx="329184" cy="329184"/>
          </a:xfrm>
          <a:prstGeom prst="rect">
            <a:avLst/>
          </a:prstGeom>
        </xdr:spPr>
      </xdr:pic>
    </xdr:grpSp>
    <xdr:clientData/>
  </xdr:twoCellAnchor>
  <xdr:twoCellAnchor>
    <xdr:from>
      <xdr:col>7</xdr:col>
      <xdr:colOff>514348</xdr:colOff>
      <xdr:row>0</xdr:row>
      <xdr:rowOff>161924</xdr:rowOff>
    </xdr:from>
    <xdr:to>
      <xdr:col>9</xdr:col>
      <xdr:colOff>400050</xdr:colOff>
      <xdr:row>6</xdr:row>
      <xdr:rowOff>116204</xdr:rowOff>
    </xdr:to>
    <xdr:grpSp>
      <xdr:nvGrpSpPr>
        <xdr:cNvPr id="108" name="Group 107">
          <a:extLst>
            <a:ext uri="{FF2B5EF4-FFF2-40B4-BE49-F238E27FC236}">
              <a16:creationId xmlns:a16="http://schemas.microsoft.com/office/drawing/2014/main" id="{3E53A88F-03A6-5FC5-2D14-5537946C71EC}"/>
            </a:ext>
          </a:extLst>
        </xdr:cNvPr>
        <xdr:cNvGrpSpPr/>
      </xdr:nvGrpSpPr>
      <xdr:grpSpPr>
        <a:xfrm>
          <a:off x="4781548" y="161924"/>
          <a:ext cx="1104902" cy="1097280"/>
          <a:chOff x="4781548" y="161924"/>
          <a:chExt cx="1104902" cy="1097280"/>
        </a:xfrm>
      </xdr:grpSpPr>
      <xdr:sp macro="" textlink="">
        <xdr:nvSpPr>
          <xdr:cNvPr id="83" name="Rectangle: Rounded Corners 82">
            <a:extLst>
              <a:ext uri="{FF2B5EF4-FFF2-40B4-BE49-F238E27FC236}">
                <a16:creationId xmlns:a16="http://schemas.microsoft.com/office/drawing/2014/main" id="{1F9E92B3-A9B0-9636-7667-A476D680E0BB}"/>
              </a:ext>
            </a:extLst>
          </xdr:cNvPr>
          <xdr:cNvSpPr/>
        </xdr:nvSpPr>
        <xdr:spPr>
          <a:xfrm>
            <a:off x="4781548" y="161924"/>
            <a:ext cx="1097280" cy="109728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5" name="Group 104">
            <a:extLst>
              <a:ext uri="{FF2B5EF4-FFF2-40B4-BE49-F238E27FC236}">
                <a16:creationId xmlns:a16="http://schemas.microsoft.com/office/drawing/2014/main" id="{48A17C6C-E19E-4793-9443-2B910E995770}"/>
              </a:ext>
            </a:extLst>
          </xdr:cNvPr>
          <xdr:cNvGrpSpPr/>
        </xdr:nvGrpSpPr>
        <xdr:grpSpPr>
          <a:xfrm>
            <a:off x="4781548" y="161924"/>
            <a:ext cx="1104902" cy="1076326"/>
            <a:chOff x="12087225" y="766762"/>
            <a:chExt cx="857250" cy="781050"/>
          </a:xfrm>
        </xdr:grpSpPr>
        <xdr:pic>
          <xdr:nvPicPr>
            <xdr:cNvPr id="106" name="Graphic 105" descr="Water with solid fill">
              <a:extLst>
                <a:ext uri="{FF2B5EF4-FFF2-40B4-BE49-F238E27FC236}">
                  <a16:creationId xmlns:a16="http://schemas.microsoft.com/office/drawing/2014/main" id="{77DCA1B7-CB8B-0415-0C30-0DDFF0B2A5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087225" y="766762"/>
              <a:ext cx="857250" cy="781050"/>
            </a:xfrm>
            <a:prstGeom prst="rect">
              <a:avLst/>
            </a:prstGeom>
          </xdr:spPr>
        </xdr:pic>
        <xdr:pic>
          <xdr:nvPicPr>
            <xdr:cNvPr id="107" name="Graphic 106" descr="Fire with solid fill">
              <a:extLst>
                <a:ext uri="{FF2B5EF4-FFF2-40B4-BE49-F238E27FC236}">
                  <a16:creationId xmlns:a16="http://schemas.microsoft.com/office/drawing/2014/main" id="{B6AC90AE-3E6D-BC31-9AC4-72D60A6E19E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217265" y="911757"/>
              <a:ext cx="609134" cy="554990"/>
            </a:xfrm>
            <a:prstGeom prst="rect">
              <a:avLst/>
            </a:prstGeom>
          </xdr:spPr>
        </xdr:pic>
      </xdr:grpSp>
    </xdr:grpSp>
    <xdr:clientData/>
  </xdr:twoCellAnchor>
  <xdr:twoCellAnchor>
    <xdr:from>
      <xdr:col>19</xdr:col>
      <xdr:colOff>504825</xdr:colOff>
      <xdr:row>3</xdr:row>
      <xdr:rowOff>189308</xdr:rowOff>
    </xdr:from>
    <xdr:to>
      <xdr:col>21</xdr:col>
      <xdr:colOff>304800</xdr:colOff>
      <xdr:row>6</xdr:row>
      <xdr:rowOff>75008</xdr:rowOff>
    </xdr:to>
    <xdr:grpSp>
      <xdr:nvGrpSpPr>
        <xdr:cNvPr id="113" name="Group 112">
          <a:hlinkClick xmlns:r="http://schemas.openxmlformats.org/officeDocument/2006/relationships" r:id="rId14"/>
          <a:extLst>
            <a:ext uri="{FF2B5EF4-FFF2-40B4-BE49-F238E27FC236}">
              <a16:creationId xmlns:a16="http://schemas.microsoft.com/office/drawing/2014/main" id="{F2303101-FE8C-10C6-C9A1-DC789EFCC5D7}"/>
            </a:ext>
          </a:extLst>
        </xdr:cNvPr>
        <xdr:cNvGrpSpPr/>
      </xdr:nvGrpSpPr>
      <xdr:grpSpPr>
        <a:xfrm>
          <a:off x="12087225" y="760808"/>
          <a:ext cx="1019175" cy="457200"/>
          <a:chOff x="12087225" y="766762"/>
          <a:chExt cx="1019175" cy="457200"/>
        </a:xfrm>
      </xdr:grpSpPr>
      <xdr:sp macro="" textlink="">
        <xdr:nvSpPr>
          <xdr:cNvPr id="41" name="Flowchart: Terminator 40">
            <a:extLst>
              <a:ext uri="{FF2B5EF4-FFF2-40B4-BE49-F238E27FC236}">
                <a16:creationId xmlns:a16="http://schemas.microsoft.com/office/drawing/2014/main" id="{65E2B491-D2AB-4191-A48C-5BDBB894DA7E}"/>
              </a:ext>
            </a:extLst>
          </xdr:cNvPr>
          <xdr:cNvSpPr/>
        </xdr:nvSpPr>
        <xdr:spPr>
          <a:xfrm>
            <a:off x="12087225" y="766762"/>
            <a:ext cx="1019175" cy="457200"/>
          </a:xfrm>
          <a:prstGeom prst="flowChartTerminator">
            <a:avLst/>
          </a:prstGeom>
          <a:solidFill>
            <a:schemeClr val="tx1">
              <a:lumMod val="75000"/>
              <a:lumOff val="25000"/>
            </a:schemeClr>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1" name="Graphic 110" descr="High voltage with solid fill">
            <a:extLst>
              <a:ext uri="{FF2B5EF4-FFF2-40B4-BE49-F238E27FC236}">
                <a16:creationId xmlns:a16="http://schemas.microsoft.com/office/drawing/2014/main" id="{1D0482DA-56A6-4F2D-9A17-7E2617BE82B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368212" y="766762"/>
            <a:ext cx="457200" cy="457200"/>
          </a:xfrm>
          <a:prstGeom prst="rect">
            <a:avLst/>
          </a:prstGeom>
        </xdr:spPr>
      </xdr:pic>
    </xdr:grpSp>
    <xdr:clientData/>
  </xdr:twoCellAnchor>
  <xdr:twoCellAnchor>
    <xdr:from>
      <xdr:col>17</xdr:col>
      <xdr:colOff>552450</xdr:colOff>
      <xdr:row>3</xdr:row>
      <xdr:rowOff>189308</xdr:rowOff>
    </xdr:from>
    <xdr:to>
      <xdr:col>19</xdr:col>
      <xdr:colOff>352425</xdr:colOff>
      <xdr:row>6</xdr:row>
      <xdr:rowOff>75008</xdr:rowOff>
    </xdr:to>
    <xdr:grpSp>
      <xdr:nvGrpSpPr>
        <xdr:cNvPr id="114" name="Group 113">
          <a:hlinkClick xmlns:r="http://schemas.openxmlformats.org/officeDocument/2006/relationships" r:id="rId17"/>
          <a:extLst>
            <a:ext uri="{FF2B5EF4-FFF2-40B4-BE49-F238E27FC236}">
              <a16:creationId xmlns:a16="http://schemas.microsoft.com/office/drawing/2014/main" id="{69AA5A5E-D9A7-E02E-7D47-2B659BAF7EB1}"/>
            </a:ext>
          </a:extLst>
        </xdr:cNvPr>
        <xdr:cNvGrpSpPr/>
      </xdr:nvGrpSpPr>
      <xdr:grpSpPr>
        <a:xfrm>
          <a:off x="10915650" y="760808"/>
          <a:ext cx="1019175" cy="457200"/>
          <a:chOff x="10915650" y="754855"/>
          <a:chExt cx="1019175" cy="457200"/>
        </a:xfrm>
      </xdr:grpSpPr>
      <xdr:sp macro="" textlink="">
        <xdr:nvSpPr>
          <xdr:cNvPr id="80" name="Flowchart: Terminator 79">
            <a:extLst>
              <a:ext uri="{FF2B5EF4-FFF2-40B4-BE49-F238E27FC236}">
                <a16:creationId xmlns:a16="http://schemas.microsoft.com/office/drawing/2014/main" id="{595BB35A-987C-0F96-748F-037E257F78E6}"/>
              </a:ext>
            </a:extLst>
          </xdr:cNvPr>
          <xdr:cNvSpPr/>
        </xdr:nvSpPr>
        <xdr:spPr>
          <a:xfrm>
            <a:off x="10915650" y="754855"/>
            <a:ext cx="1019175" cy="457200"/>
          </a:xfrm>
          <a:prstGeom prst="flowChartTerminator">
            <a:avLst/>
          </a:prstGeom>
          <a:solidFill>
            <a:srgbClr val="001C54"/>
          </a:solidFill>
          <a:ln>
            <a:noFill/>
          </a:ln>
          <a:effectLst>
            <a:outerShdw blurRad="190500" dist="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2" name="Graphic 111" descr="Leaky Tap with solid fill">
            <a:extLst>
              <a:ext uri="{FF2B5EF4-FFF2-40B4-BE49-F238E27FC236}">
                <a16:creationId xmlns:a16="http://schemas.microsoft.com/office/drawing/2014/main" id="{665DB2D9-B479-45D9-805F-7317585774B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257902" y="818863"/>
            <a:ext cx="334671" cy="329184"/>
          </a:xfrm>
          <a:prstGeom prst="rect">
            <a:avLst/>
          </a:prstGeom>
        </xdr:spPr>
      </xdr:pic>
    </xdr:grpSp>
    <xdr:clientData/>
  </xdr:twoCellAnchor>
  <xdr:twoCellAnchor>
    <xdr:from>
      <xdr:col>0</xdr:col>
      <xdr:colOff>180975</xdr:colOff>
      <xdr:row>27</xdr:row>
      <xdr:rowOff>47625</xdr:rowOff>
    </xdr:from>
    <xdr:to>
      <xdr:col>5</xdr:col>
      <xdr:colOff>22479</xdr:colOff>
      <xdr:row>41</xdr:row>
      <xdr:rowOff>123825</xdr:rowOff>
    </xdr:to>
    <xdr:graphicFrame macro="">
      <xdr:nvGraphicFramePr>
        <xdr:cNvPr id="115" name="Chart 114">
          <a:extLst>
            <a:ext uri="{FF2B5EF4-FFF2-40B4-BE49-F238E27FC236}">
              <a16:creationId xmlns:a16="http://schemas.microsoft.com/office/drawing/2014/main" id="{41000711-D37F-4ADD-BEC0-6CAA49663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171450</xdr:colOff>
      <xdr:row>14</xdr:row>
      <xdr:rowOff>0</xdr:rowOff>
    </xdr:from>
    <xdr:to>
      <xdr:col>4</xdr:col>
      <xdr:colOff>604266</xdr:colOff>
      <xdr:row>27</xdr:row>
      <xdr:rowOff>175260</xdr:rowOff>
    </xdr:to>
    <xdr:graphicFrame macro="">
      <xdr:nvGraphicFramePr>
        <xdr:cNvPr id="116" name="Chart 115">
          <a:extLst>
            <a:ext uri="{FF2B5EF4-FFF2-40B4-BE49-F238E27FC236}">
              <a16:creationId xmlns:a16="http://schemas.microsoft.com/office/drawing/2014/main" id="{696EE970-1F7A-4BC8-9AEE-12699DD75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542407</xdr:colOff>
      <xdr:row>7</xdr:row>
      <xdr:rowOff>142875</xdr:rowOff>
    </xdr:from>
    <xdr:to>
      <xdr:col>19</xdr:col>
      <xdr:colOff>457063</xdr:colOff>
      <xdr:row>16</xdr:row>
      <xdr:rowOff>174879</xdr:rowOff>
    </xdr:to>
    <xdr:graphicFrame macro="">
      <xdr:nvGraphicFramePr>
        <xdr:cNvPr id="120" name="Chart 119">
          <a:extLst>
            <a:ext uri="{FF2B5EF4-FFF2-40B4-BE49-F238E27FC236}">
              <a16:creationId xmlns:a16="http://schemas.microsoft.com/office/drawing/2014/main" id="{D0C491D5-CC7E-4555-8409-412DF5A04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19</xdr:col>
      <xdr:colOff>542470</xdr:colOff>
      <xdr:row>7</xdr:row>
      <xdr:rowOff>142875</xdr:rowOff>
    </xdr:from>
    <xdr:to>
      <xdr:col>29</xdr:col>
      <xdr:colOff>6022</xdr:colOff>
      <xdr:row>16</xdr:row>
      <xdr:rowOff>174879</xdr:rowOff>
    </xdr:to>
    <xdr:graphicFrame macro="">
      <xdr:nvGraphicFramePr>
        <xdr:cNvPr id="121" name="Chart 120">
          <a:extLst>
            <a:ext uri="{FF2B5EF4-FFF2-40B4-BE49-F238E27FC236}">
              <a16:creationId xmlns:a16="http://schemas.microsoft.com/office/drawing/2014/main" id="{71A94B89-B6CE-4A86-8487-8F36D4A1A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551932</xdr:colOff>
      <xdr:row>17</xdr:row>
      <xdr:rowOff>81643</xdr:rowOff>
    </xdr:from>
    <xdr:to>
      <xdr:col>19</xdr:col>
      <xdr:colOff>475732</xdr:colOff>
      <xdr:row>28</xdr:row>
      <xdr:rowOff>89263</xdr:rowOff>
    </xdr:to>
    <xdr:graphicFrame macro="">
      <xdr:nvGraphicFramePr>
        <xdr:cNvPr id="124" name="Chart 123">
          <a:extLst>
            <a:ext uri="{FF2B5EF4-FFF2-40B4-BE49-F238E27FC236}">
              <a16:creationId xmlns:a16="http://schemas.microsoft.com/office/drawing/2014/main" id="{553372ED-55B1-42EA-A926-7192F4227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542470</xdr:colOff>
      <xdr:row>17</xdr:row>
      <xdr:rowOff>62593</xdr:rowOff>
    </xdr:from>
    <xdr:to>
      <xdr:col>29</xdr:col>
      <xdr:colOff>6022</xdr:colOff>
      <xdr:row>28</xdr:row>
      <xdr:rowOff>61069</xdr:rowOff>
    </xdr:to>
    <xdr:graphicFrame macro="">
      <xdr:nvGraphicFramePr>
        <xdr:cNvPr id="125" name="Chart 124">
          <a:extLst>
            <a:ext uri="{FF2B5EF4-FFF2-40B4-BE49-F238E27FC236}">
              <a16:creationId xmlns:a16="http://schemas.microsoft.com/office/drawing/2014/main" id="{50A92D16-CA71-493D-BA41-EF9CF818C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xdr:col>
      <xdr:colOff>551932</xdr:colOff>
      <xdr:row>28</xdr:row>
      <xdr:rowOff>153216</xdr:rowOff>
    </xdr:from>
    <xdr:to>
      <xdr:col>19</xdr:col>
      <xdr:colOff>475732</xdr:colOff>
      <xdr:row>40</xdr:row>
      <xdr:rowOff>144072</xdr:rowOff>
    </xdr:to>
    <xdr:graphicFrame macro="">
      <xdr:nvGraphicFramePr>
        <xdr:cNvPr id="14336" name="Chart 14335">
          <a:extLst>
            <a:ext uri="{FF2B5EF4-FFF2-40B4-BE49-F238E27FC236}">
              <a16:creationId xmlns:a16="http://schemas.microsoft.com/office/drawing/2014/main" id="{7EF57D64-DC41-42DD-B110-AD69E3983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542470</xdr:colOff>
      <xdr:row>28</xdr:row>
      <xdr:rowOff>153216</xdr:rowOff>
    </xdr:from>
    <xdr:to>
      <xdr:col>28</xdr:col>
      <xdr:colOff>606478</xdr:colOff>
      <xdr:row>40</xdr:row>
      <xdr:rowOff>134928</xdr:rowOff>
    </xdr:to>
    <xdr:graphicFrame macro="">
      <xdr:nvGraphicFramePr>
        <xdr:cNvPr id="14338" name="Chart 14337">
          <a:extLst>
            <a:ext uri="{FF2B5EF4-FFF2-40B4-BE49-F238E27FC236}">
              <a16:creationId xmlns:a16="http://schemas.microsoft.com/office/drawing/2014/main" id="{344DDE0E-E05C-4C40-B591-21ADC07E7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21</xdr:col>
      <xdr:colOff>381000</xdr:colOff>
      <xdr:row>2</xdr:row>
      <xdr:rowOff>19050</xdr:rowOff>
    </xdr:from>
    <xdr:to>
      <xdr:col>29</xdr:col>
      <xdr:colOff>48768</xdr:colOff>
      <xdr:row>7</xdr:row>
      <xdr:rowOff>35814</xdr:rowOff>
    </xdr:to>
    <mc:AlternateContent xmlns:mc="http://schemas.openxmlformats.org/markup-compatibility/2006">
      <mc:Choice xmlns:a14="http://schemas.microsoft.com/office/drawing/2010/main" Requires="a14">
        <xdr:graphicFrame macro="">
          <xdr:nvGraphicFramePr>
            <xdr:cNvPr id="14339" name="Date (Month) 1">
              <a:extLst>
                <a:ext uri="{FF2B5EF4-FFF2-40B4-BE49-F238E27FC236}">
                  <a16:creationId xmlns:a16="http://schemas.microsoft.com/office/drawing/2014/main" id="{E1CB76F7-E111-4966-A19F-C49347D6C487}"/>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3182600" y="400050"/>
              <a:ext cx="4544568" cy="96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xdr:row>
      <xdr:rowOff>171450</xdr:rowOff>
    </xdr:from>
    <xdr:to>
      <xdr:col>7</xdr:col>
      <xdr:colOff>419862</xdr:colOff>
      <xdr:row>7</xdr:row>
      <xdr:rowOff>43434</xdr:rowOff>
    </xdr:to>
    <mc:AlternateContent xmlns:mc="http://schemas.openxmlformats.org/markup-compatibility/2006">
      <mc:Choice xmlns:a14="http://schemas.microsoft.com/office/drawing/2010/main" Requires="a14">
        <xdr:graphicFrame macro="">
          <xdr:nvGraphicFramePr>
            <xdr:cNvPr id="14340" name="Date (Year) 3">
              <a:extLst>
                <a:ext uri="{FF2B5EF4-FFF2-40B4-BE49-F238E27FC236}">
                  <a16:creationId xmlns:a16="http://schemas.microsoft.com/office/drawing/2014/main" id="{66087274-246F-44F9-B0D3-08A55DEC8D39}"/>
                </a:ext>
              </a:extLst>
            </xdr:cNvPr>
            <xdr:cNvGraphicFramePr/>
          </xdr:nvGraphicFramePr>
          <xdr:xfrm>
            <a:off x="0" y="0"/>
            <a:ext cx="0" cy="0"/>
          </xdr:xfrm>
          <a:graphic>
            <a:graphicData uri="http://schemas.microsoft.com/office/drawing/2010/slicer">
              <sle:slicer xmlns:sle="http://schemas.microsoft.com/office/drawing/2010/slicer" name="Date (Year) 3"/>
            </a:graphicData>
          </a:graphic>
        </xdr:graphicFrame>
      </mc:Choice>
      <mc:Fallback>
        <xdr:sp macro="" textlink="">
          <xdr:nvSpPr>
            <xdr:cNvPr id="0" name=""/>
            <xdr:cNvSpPr>
              <a:spLocks noTextEdit="1"/>
            </xdr:cNvSpPr>
          </xdr:nvSpPr>
          <xdr:spPr>
            <a:xfrm>
              <a:off x="133350" y="361950"/>
              <a:ext cx="4553712" cy="101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314325</xdr:colOff>
      <xdr:row>33</xdr:row>
      <xdr:rowOff>28575</xdr:rowOff>
    </xdr:from>
    <xdr:to>
      <xdr:col>3</xdr:col>
      <xdr:colOff>190498</xdr:colOff>
      <xdr:row>35</xdr:row>
      <xdr:rowOff>104757</xdr:rowOff>
    </xdr:to>
    <xdr:sp macro="" textlink="">
      <xdr:nvSpPr>
        <xdr:cNvPr id="87" name="TextBox 74">
          <a:extLst>
            <a:ext uri="{FF2B5EF4-FFF2-40B4-BE49-F238E27FC236}">
              <a16:creationId xmlns:a16="http://schemas.microsoft.com/office/drawing/2014/main" id="{AAECA69F-550A-46C3-B959-CEF36EE20D1A}"/>
            </a:ext>
          </a:extLst>
        </xdr:cNvPr>
        <xdr:cNvSpPr txBox="1"/>
      </xdr:nvSpPr>
      <xdr:spPr>
        <a:xfrm>
          <a:off x="923925" y="6315075"/>
          <a:ext cx="1095373" cy="457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050" b="1">
              <a:solidFill>
                <a:schemeClr val="tx1"/>
              </a:solidFill>
              <a:latin typeface="Constantia" panose="02030602050306030303" pitchFamily="18" charset="0"/>
            </a:rPr>
            <a:t>Gas</a:t>
          </a:r>
          <a:r>
            <a:rPr lang="en-US" sz="1050" b="1" baseline="0">
              <a:solidFill>
                <a:schemeClr val="tx1"/>
              </a:solidFill>
              <a:latin typeface="Constantia" panose="02030602050306030303" pitchFamily="18" charset="0"/>
            </a:rPr>
            <a:t> Flow</a:t>
          </a:r>
          <a:r>
            <a:rPr lang="en-US" sz="1050" b="1">
              <a:solidFill>
                <a:schemeClr val="tx1"/>
              </a:solidFill>
              <a:latin typeface="Constantia" panose="02030602050306030303" pitchFamily="18" charset="0"/>
            </a:rPr>
            <a:t> Percentage</a:t>
          </a:r>
        </a:p>
      </xdr:txBody>
    </xdr:sp>
    <xdr:clientData/>
  </xdr:twoCellAnchor>
  <xdr:twoCellAnchor>
    <xdr:from>
      <xdr:col>1</xdr:col>
      <xdr:colOff>292100</xdr:colOff>
      <xdr:row>19</xdr:row>
      <xdr:rowOff>136525</xdr:rowOff>
    </xdr:from>
    <xdr:to>
      <xdr:col>3</xdr:col>
      <xdr:colOff>168275</xdr:colOff>
      <xdr:row>22</xdr:row>
      <xdr:rowOff>22225</xdr:rowOff>
    </xdr:to>
    <xdr:sp macro="" textlink="">
      <xdr:nvSpPr>
        <xdr:cNvPr id="58" name="TextBox 57">
          <a:extLst>
            <a:ext uri="{FF2B5EF4-FFF2-40B4-BE49-F238E27FC236}">
              <a16:creationId xmlns:a16="http://schemas.microsoft.com/office/drawing/2014/main" id="{D4D716BB-EFB5-42F9-8E45-834CC423355B}"/>
            </a:ext>
          </a:extLst>
        </xdr:cNvPr>
        <xdr:cNvSpPr txBox="1"/>
      </xdr:nvSpPr>
      <xdr:spPr>
        <a:xfrm>
          <a:off x="901700" y="3756025"/>
          <a:ext cx="1095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solidFill>
              <a:latin typeface="Constantia" panose="02030602050306030303" pitchFamily="18" charset="0"/>
            </a:rPr>
            <a:t>Financial Percentage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65046298" backgroundQuery="1" createdVersion="8" refreshedVersion="8" minRefreshableVersion="3" recordCount="0" supportSubquery="1" supportAdvancedDrill="1" xr:uid="{24DFEB79-61F4-446E-AEFA-7D59EF8CDBB2}">
  <cacheSource type="external" connectionId="4"/>
  <cacheFields count="3">
    <cacheField name="[Energy Consumptions].[Date (Month)].[Date (Month)]" caption="Date (Month)" numFmtId="0" hierarchy="13" level="1">
      <sharedItems count="12">
        <s v="Jan"/>
        <s v="Feb"/>
        <s v="Mar"/>
        <s v="Apr"/>
        <s v="May"/>
        <s v="Jun"/>
        <s v="Jul"/>
        <s v="Aug"/>
        <s v="Sep"/>
        <s v="Oct"/>
        <s v="Nov"/>
        <s v="Dec"/>
      </sharedItems>
    </cacheField>
    <cacheField name="[Measures].[Sum of Consumption]" caption="Sum of Consumption" numFmtId="0" hierarchy="26"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65972222" backgroundQuery="1" createdVersion="8" refreshedVersion="8" minRefreshableVersion="3" recordCount="0" supportSubquery="1" supportAdvancedDrill="1" xr:uid="{38510F5E-3F2C-4C69-9E8A-73D0E3F38979}">
  <cacheSource type="external" connectionId="4"/>
  <cacheFields count="3">
    <cacheField name="[Energy Consumptions].[Date (Month)].[Date (Month)]" caption="Date (Month)" numFmtId="0" hierarchy="13" level="1">
      <sharedItems count="12">
        <s v="Jan"/>
        <s v="Feb"/>
        <s v="Mar"/>
        <s v="Apr"/>
        <s v="May"/>
        <s v="Jun"/>
        <s v="Jul"/>
        <s v="Aug"/>
        <s v="Sep"/>
        <s v="Oct"/>
        <s v="Nov"/>
        <s v="Dec"/>
      </sharedItems>
    </cacheField>
    <cacheField name="[Measures].[Sum of Price]" caption="Sum of Price" numFmtId="0" hierarchy="23"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95138888" backgroundQuery="1" createdVersion="8" refreshedVersion="8" minRefreshableVersion="3" recordCount="0" supportSubquery="1" supportAdvancedDrill="1" xr:uid="{2CA224EE-35E6-4D07-BB14-94C99E31925C}">
  <cacheSource type="external" connectionId="4"/>
  <cacheFields count="3">
    <cacheField name="[Rates].[Energy Type].[Energy Type]" caption="Energy Type" numFmtId="0" hierarchy="15" level="1">
      <sharedItems count="3">
        <s v="Electricity"/>
        <s v="Gas"/>
        <s v="Water"/>
      </sharedItems>
    </cacheField>
    <cacheField name="[Measures].[Sum of Consumption]" caption="Sum of Consumption" numFmtId="0" hierarchy="26"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96064811" backgroundQuery="1" createdVersion="8" refreshedVersion="8" minRefreshableVersion="3" recordCount="0" supportSubquery="1" supportAdvancedDrill="1" xr:uid="{AAC4FCC1-8455-4BFE-B56C-107E405E7F83}">
  <cacheSource type="external" connectionId="4"/>
  <cacheFields count="3">
    <cacheField name="[Rates].[Energy Type].[Energy Type]" caption="Energy Type" numFmtId="0" hierarchy="15" level="1">
      <sharedItems count="3">
        <s v="Electricity"/>
        <s v="Gas"/>
        <s v="Water"/>
      </sharedItems>
    </cacheField>
    <cacheField name="[Measures].[Sum of Price]" caption="Sum of Price" numFmtId="0" hierarchy="23"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96412035" backgroundQuery="1" createdVersion="8" refreshedVersion="8" minRefreshableVersion="3" recordCount="0" supportSubquery="1" supportAdvancedDrill="1" xr:uid="{B85255E1-EC98-4F39-B243-E9AA4EEDABDE}">
  <cacheSource type="external" connectionId="4"/>
  <cacheFields count="2">
    <cacheField name="[Measures].[Average of Consumption]" caption="Average of Consumption" numFmtId="0" hierarchy="28"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9722222" backgroundQuery="1" createdVersion="8" refreshedVersion="8" minRefreshableVersion="3" recordCount="0" supportSubquery="1" supportAdvancedDrill="1" xr:uid="{5D67349B-FF56-4A5C-9D3F-C5EF520B31B2}">
  <cacheSource type="external" connectionId="4"/>
  <cacheFields count="2">
    <cacheField name="[Measures].[Average of Price]" caption="Average of Price" numFmtId="0" hierarchy="27"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97800928" backgroundQuery="1" createdVersion="8" refreshedVersion="8" minRefreshableVersion="3" recordCount="0" supportSubquery="1" supportAdvancedDrill="1" xr:uid="{4E65E376-3B0E-4786-BD71-96EAA84FAF0E}">
  <cacheSource type="external" connectionId="4"/>
  <cacheFields count="3">
    <cacheField name="[Building Master].[Building].[Building]" caption="Building" numFmtId="0" level="1">
      <sharedItems count="5">
        <s v="B1000"/>
        <s v="B1001"/>
        <s v="B1003"/>
        <s v="B1006"/>
        <s v="B1008"/>
      </sharedItems>
    </cacheField>
    <cacheField name="[Measures].[Sum of Consumption]" caption="Sum of Consumption" numFmtId="0" hierarchy="26"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98495367" backgroundQuery="1" createdVersion="8" refreshedVersion="8" minRefreshableVersion="3" recordCount="0" supportSubquery="1" supportAdvancedDrill="1" xr:uid="{F63D473D-E676-48DB-9F80-AF9570CE08DB}">
  <cacheSource type="external" connectionId="4"/>
  <cacheFields count="3">
    <cacheField name="[Building Master].[Building].[Building]" caption="Building" numFmtId="0" level="1">
      <sharedItems count="5">
        <s v="B1000"/>
        <s v="B1001"/>
        <s v="B1003"/>
        <s v="B1006"/>
        <s v="B1008"/>
      </sharedItems>
    </cacheField>
    <cacheField name="[Measures].[Sum of Price]" caption="Sum of Price" numFmtId="0" hierarchy="23"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Year]" caption="Year" attribute="1" defaultMemberUniqueName="[Energy Consumptions].[Year].[All]" allUniqueName="[Energy Consumptions].[Year].[All]" dimensionUniqueName="[Energy Consumptions]" displayFolder="" count="2" memberValueDatatype="20" unbalanced="0"/>
    <cacheHierarchy uniqueName="[Energy Consumptions].[Month Name]" caption="Month Name" attribute="1" defaultMemberUniqueName="[Energy Consumptions].[Month Name].[All]" allUniqueName="[Energy Consumptions].[Month Name].[All]" dimensionUniqueName="[Energy Consumptions]" displayFolder="" count="2"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2" memberValueDatatype="20" unbalanced="0"/>
    <cacheHierarchy uniqueName="[Energy Consumptions].[Merged]" caption="Merged" attribute="1" defaultMemberUniqueName="[Energy Consumptions].[Merged].[All]" allUniqueName="[Energy Consumptions].[Merged].[All]" dimensionUniqueName="[Energy Consumptions]" displayFolder="" count="2" memberValueDatatype="130" unbalanced="0"/>
    <cacheHierarchy uniqueName="[Energy Consumptions].[Price]" caption="Price" attribute="1" defaultMemberUniqueName="[Energy Consumptions].[Price].[All]" allUniqueName="[Energy Consumptions].[Price].[All]" dimensionUniqueName="[Energy Consumptions]" displayFolder="" count="2"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2" memberValueDatatype="20" unbalanced="0"/>
    <cacheHierarchy uniqueName="[Rates].[Energy Type]" caption="Energy Type" attribute="1" defaultMemberUniqueName="[Rates].[Energy Type].[All]" allUniqueName="[Rates].[Energy Type].[All]" dimensionUniqueName="[Rates]" displayFolder="" count="2" memberValueDatatype="130" unbalanced="0"/>
    <cacheHierarchy uniqueName="[Rates].[Price Per Unit]" caption="Price Per Unit" attribute="1" defaultMemberUniqueName="[Rates].[Price Per Unit].[All]" allUniqueName="[Rates].[Price Per Unit].[All]" dimensionUniqueName="[Rates]" displayFolder="" count="2" memberValueDatatype="5" unbalanced="0"/>
    <cacheHierarchy uniqueName="[Rates].[Key]" caption="Key" attribute="1" defaultMemberUniqueName="[Rates].[Key].[All]" allUniqueName="[Rates].[Key].[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99305552" backgroundQuery="1" createdVersion="8" refreshedVersion="8" minRefreshableVersion="3" recordCount="0" supportSubquery="1" supportAdvancedDrill="1" xr:uid="{49F95547-ADF4-428E-A542-423A2B4A2396}">
  <cacheSource type="external" connectionId="4"/>
  <cacheFields count="3">
    <cacheField name="[Building Master].[City].[City]" caption="City" numFmtId="0" hierarchy="1" level="1">
      <sharedItems count="5">
        <s v="Chicago"/>
        <s v="Houston"/>
        <s v="Los Angeles"/>
        <s v="New York"/>
        <s v="Phoenix"/>
      </sharedItems>
    </cacheField>
    <cacheField name="[Measures].[Sum of Consumption]" caption="Sum of Consumption" numFmtId="0" hierarchy="26"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099999999" backgroundQuery="1" createdVersion="8" refreshedVersion="8" minRefreshableVersion="3" recordCount="0" supportSubquery="1" supportAdvancedDrill="1" xr:uid="{F63F53FF-6892-41AA-A396-B1E78B16B914}">
  <cacheSource type="external" connectionId="4"/>
  <cacheFields count="3">
    <cacheField name="[Building Master].[City].[City]" caption="City" numFmtId="0" hierarchy="1" level="1">
      <sharedItems count="5">
        <s v="Chicago"/>
        <s v="Houston"/>
        <s v="Los Angeles"/>
        <s v="New York"/>
        <s v="Phoenix"/>
      </sharedItems>
    </cacheField>
    <cacheField name="[Measures].[Sum of Price]" caption="Sum of Price" numFmtId="0" hierarchy="23"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100578706" backgroundQuery="1" createdVersion="8" refreshedVersion="8" minRefreshableVersion="3" recordCount="0" supportSubquery="1" supportAdvancedDrill="1" xr:uid="{E2E49C0B-88B0-411E-A2EA-D916D83357E5}">
  <cacheSource type="external" connectionId="4"/>
  <cacheFields count="2">
    <cacheField name="[Measures].[Distinct Count of Building]" caption="Distinct Count of Building" numFmtId="0" hierarchy="31" level="32767"/>
    <cacheField name="[Energy Consumptions].[Date (Month)].[Date (Month)]" caption="Date (Month)" numFmtId="0" hierarchy="13" level="1">
      <sharedItems containsSemiMixedTypes="0" containsNonDate="0" containsString="0"/>
    </cacheField>
  </cacheFields>
  <cacheHierarchies count="32">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y uniqueName="[Measures].[Count of Building 2]" caption="Count of Building 2" measure="1" displayFolder="" measureGroup="Energy Consumptions" count="0" hidden="1">
      <extLst>
        <ext xmlns:x15="http://schemas.microsoft.com/office/spreadsheetml/2010/11/main" uri="{B97F6D7D-B522-45F9-BDA1-12C45D357490}">
          <x15:cacheHierarchy aggregatedColumn="4"/>
        </ext>
      </extLst>
    </cacheHierarchy>
    <cacheHierarchy uniqueName="[Measures].[Distinct Count of Building]" caption="Distinct Count of Building" measure="1" displayFolder="" measureGroup="Energy Consumption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101041668" backgroundQuery="1" createdVersion="8" refreshedVersion="8" minRefreshableVersion="3" recordCount="0" supportSubquery="1" supportAdvancedDrill="1" xr:uid="{99343DC5-98C4-4BDB-97EA-B6555F173496}">
  <cacheSource type="external" connectionId="4"/>
  <cacheFields count="2">
    <cacheField name="[Measures].[Sum of Consumption]" caption="Sum of Consumption" numFmtId="0" hierarchy="26"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5910150463" backgroundQuery="1" createdVersion="8" refreshedVersion="8" minRefreshableVersion="3" recordCount="0" supportSubquery="1" supportAdvancedDrill="1" xr:uid="{30849C9A-56BF-4C63-AA13-9AEDD3F6000A}">
  <cacheSource type="external" connectionId="4"/>
  <cacheFields count="2">
    <cacheField name="[Measures].[Sum of Price]" caption="Sum of Price" numFmtId="0" hierarchy="23"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2146759256" backgroundQuery="1" createdVersion="8" refreshedVersion="8" minRefreshableVersion="3" recordCount="0" supportSubquery="1" supportAdvancedDrill="1" xr:uid="{649A6417-5DD1-41A2-BE74-E0D54BDD9BB4}">
  <cacheSource type="external" connectionId="4"/>
  <cacheFields count="4">
    <cacheField name="[Energy Consumptions].[Date (Month)].[Date (Month)]" caption="Date (Month)" numFmtId="0" hierarchy="13" level="1">
      <sharedItems count="12">
        <s v="Jan"/>
        <s v="Feb"/>
        <s v="Mar"/>
        <s v="Apr"/>
        <s v="May"/>
        <s v="Jun"/>
        <s v="Jul"/>
        <s v="Aug"/>
        <s v="Sep"/>
        <s v="Oct"/>
        <s v="Nov"/>
        <s v="Dec"/>
      </sharedItems>
    </cacheField>
    <cacheField name="[Rates].[Energy Type].[Energy Type]" caption="Energy Type" numFmtId="0" hierarchy="15" level="1">
      <sharedItems containsSemiMixedTypes="0" containsNonDate="0" containsString="0"/>
    </cacheField>
    <cacheField name="[Measures].[Sum of Consumption]" caption="Sum of Consumption" numFmtId="0" hierarchy="26"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2147453703" backgroundQuery="1" createdVersion="8" refreshedVersion="8" minRefreshableVersion="3" recordCount="0" supportSubquery="1" supportAdvancedDrill="1" xr:uid="{435BF022-EDF4-468B-8C05-BA444FB0FFF3}">
  <cacheSource type="external" connectionId="4"/>
  <cacheFields count="4">
    <cacheField name="[Rates].[Energy Type].[Energy Type]" caption="Energy Type" numFmtId="0" hierarchy="15" level="1">
      <sharedItems containsSemiMixedTypes="0" containsNonDate="0" containsString="0"/>
    </cacheField>
    <cacheField name="[Measures].[Sum of Price]" caption="Sum of Price" numFmtId="0" hierarchy="23" level="32767"/>
    <cacheField name="[Energy Consumptions].[Date (Month)].[Date (Month)]" caption="Date (Month)" numFmtId="0" hierarchy="13" level="1">
      <sharedItems count="12">
        <s v="Jan"/>
        <s v="Feb"/>
        <s v="Mar"/>
        <s v="Apr"/>
        <s v="May"/>
        <s v="Jun"/>
        <s v="Jul"/>
        <s v="Aug"/>
        <s v="Sep"/>
        <s v="Oct"/>
        <s v="Nov"/>
        <s v="Dec"/>
      </sharedItems>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379166669" backgroundQuery="1" createdVersion="8" refreshedVersion="8" minRefreshableVersion="3" recordCount="0" supportSubquery="1" supportAdvancedDrill="1" xr:uid="{AC620415-1185-48DE-993A-8512E288A862}">
  <cacheSource type="external" connectionId="4"/>
  <cacheFields count="4">
    <cacheField name="[Energy Consumptions].[Date (Year)].[Date (Year)]" caption="Date (Year)" numFmtId="0" hierarchy="11" level="1">
      <sharedItems count="4">
        <s v="2016"/>
        <s v="2017"/>
        <s v="2018"/>
        <s v="2019"/>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Year]" caption="Year" attribute="1" defaultMemberUniqueName="[Energy Consumptions].[Year].[All]" allUniqueName="[Energy Consumptions].[Year].[All]" dimensionUniqueName="[Energy Consumptions]" displayFolder="" count="2" memberValueDatatype="20" unbalanced="0"/>
    <cacheHierarchy uniqueName="[Energy Consumptions].[Month Name]" caption="Month Name" attribute="1" defaultMemberUniqueName="[Energy Consumptions].[Month Name].[All]" allUniqueName="[Energy Consumptions].[Month Name].[All]" dimensionUniqueName="[Energy Consumptions]" displayFolder="" count="2"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2" memberValueDatatype="20" unbalanced="0"/>
    <cacheHierarchy uniqueName="[Energy Consumptions].[Merged]" caption="Merged" attribute="1" defaultMemberUniqueName="[Energy Consumptions].[Merged].[All]" allUniqueName="[Energy Consumptions].[Merged].[All]" dimensionUniqueName="[Energy Consumptions]" displayFolder="" count="2" memberValueDatatype="130" unbalanced="0"/>
    <cacheHierarchy uniqueName="[Energy Consumptions].[Price]" caption="Price" attribute="1" defaultMemberUniqueName="[Energy Consumptions].[Price].[All]" allUniqueName="[Energy Consumptions].[Price].[All]" dimensionUniqueName="[Energy Consumptions]" displayFolder="" count="2"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0"/>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2"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2" memberValueDatatype="5" unbalanced="0"/>
    <cacheHierarchy uniqueName="[Rates].[Key]" caption="Key" attribute="1" defaultMemberUniqueName="[Rates].[Key].[All]" allUniqueName="[Rates].[Key].[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379629631" backgroundQuery="1" createdVersion="8" refreshedVersion="8" minRefreshableVersion="3" recordCount="0" supportSubquery="1" supportAdvancedDrill="1" xr:uid="{89173701-6D24-419B-839F-A84FD49EDF9E}">
  <cacheSource type="external" connectionId="4"/>
  <cacheFields count="3">
    <cacheField name="[Measures].[Distinct Count of Building]" caption="Distinct Count of Building" numFmtId="0" hierarchy="31" level="32767"/>
    <cacheField name="[Energy Consumptions].[Attribute].[Attribute]" caption="Attribute" numFmtId="0" hierarchy="7" level="1">
      <sharedItems containsSemiMixedTypes="0" containsNonDate="0" containsString="0"/>
    </cacheField>
    <cacheField name="[Energy Consumptions].[Date (Month)].[Date (Month)]" caption="Date (Month)" numFmtId="0" hierarchy="13" level="1">
      <sharedItems containsSemiMixedTypes="0" containsNonDate="0" containsString="0"/>
    </cacheField>
  </cacheFields>
  <cacheHierarchies count="32">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fieldsUsage count="2">
        <fieldUsage x="-1"/>
        <fieldUsage x="1"/>
      </fieldsUsage>
    </cacheHierarchy>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y uniqueName="[Measures].[Count of Building 2]" caption="Count of Building 2" measure="1" displayFolder="" measureGroup="Energy Consumptions" count="0" hidden="1">
      <extLst>
        <ext xmlns:x15="http://schemas.microsoft.com/office/spreadsheetml/2010/11/main" uri="{B97F6D7D-B522-45F9-BDA1-12C45D357490}">
          <x15:cacheHierarchy aggregatedColumn="4"/>
        </ext>
      </extLst>
    </cacheHierarchy>
    <cacheHierarchy uniqueName="[Measures].[Distinct Count of Building]" caption="Distinct Count of Building" measure="1" displayFolder="" measureGroup="Energy Consumption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38460648" backgroundQuery="1" createdVersion="8" refreshedVersion="8" minRefreshableVersion="3" recordCount="0" supportSubquery="1" supportAdvancedDrill="1" xr:uid="{22FF6D54-CB69-4DBB-A54C-103329B0F5AF}">
  <cacheSource type="external" connectionId="4"/>
  <cacheFields count="4">
    <cacheField name="[Energy Consumptions].[Year].[Year]" caption="Year" numFmtId="0" hierarchy="5" level="1">
      <sharedItems containsSemiMixedTypes="0" containsString="0" containsNumber="1" containsInteger="1" minValue="2016" maxValue="2019" count="4">
        <n v="2016"/>
        <n v="2017"/>
        <n v="2018"/>
        <n v="2019"/>
      </sharedItems>
      <extLst>
        <ext xmlns:x15="http://schemas.microsoft.com/office/spreadsheetml/2010/11/main" uri="{4F2E5C28-24EA-4eb8-9CBF-B6C8F9C3D259}">
          <x15:cachedUniqueNames>
            <x15:cachedUniqueName index="0" name="[Energy Consumptions].[Year].&amp;[2016]"/>
            <x15:cachedUniqueName index="1" name="[Energy Consumptions].[Year].&amp;[2017]"/>
            <x15:cachedUniqueName index="2" name="[Energy Consumptions].[Year].&amp;[2018]"/>
            <x15:cachedUniqueName index="3" name="[Energy Consumptions].[Year].&amp;[2019]"/>
          </x15:cachedUniqueNames>
        </ext>
      </extLst>
    </cacheField>
    <cacheField name="[Measures].[Sum of Price]" caption="Sum of Price" numFmtId="0" hierarchy="23" level="32767"/>
    <cacheField name="[Rates].[Energy Type].[Energy Type]" caption="Energy Type" numFmtId="0" hierarchy="15" level="1">
      <sharedItems containsSemiMixedTypes="0" containsNonDate="0" containsString="0"/>
    </cacheField>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2" memberValueDatatype="20" unbalanced="0">
      <fieldsUsage count="2">
        <fieldUsage x="-1"/>
        <fieldUsage x="0"/>
      </fieldsUsage>
    </cacheHierarchy>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1689814" backgroundQuery="1" createdVersion="8" refreshedVersion="8" minRefreshableVersion="3" recordCount="0" supportSubquery="1" supportAdvancedDrill="1" xr:uid="{E7871884-4B0D-4CD9-B8D8-F40F2A81E214}">
  <cacheSource type="external" connectionId="4"/>
  <cacheFields count="4">
    <cacheField name="[Energy Consumptions].[Date (Month)].[Date (Month)]" caption="Date (Month)" numFmtId="0" hierarchy="13" level="1">
      <sharedItems count="12">
        <s v="Jan"/>
        <s v="Feb"/>
        <s v="Mar"/>
        <s v="Apr"/>
        <s v="May"/>
        <s v="Jun"/>
        <s v="Jul"/>
        <s v="Aug"/>
        <s v="Sep"/>
        <s v="Oct"/>
        <s v="Nov"/>
        <s v="Dec"/>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238426" backgroundQuery="1" createdVersion="8" refreshedVersion="8" minRefreshableVersion="3" recordCount="0" supportSubquery="1" supportAdvancedDrill="1" xr:uid="{F23442D5-496F-4E9F-A023-FBC8EAF573CA}">
  <cacheSource type="external" connectionId="4"/>
  <cacheFields count="4">
    <cacheField name="[Energy Consumptions].[Date (Month)].[Date (Month)]" caption="Date (Month)" numFmtId="0" hierarchy="13" level="1">
      <sharedItems count="12">
        <s v="Jan"/>
        <s v="Feb"/>
        <s v="Mar"/>
        <s v="Apr"/>
        <s v="May"/>
        <s v="Jun"/>
        <s v="Jul"/>
        <s v="Aug"/>
        <s v="Sep"/>
        <s v="Oct"/>
        <s v="Nov"/>
        <s v="Dec"/>
      </sharedItems>
    </cacheField>
    <cacheField name="[Rates].[Energy Type].[Energy Type]" caption="Energy Type" numFmtId="0" hierarchy="15" level="1">
      <sharedItems containsSemiMixedTypes="0" containsNonDate="0" containsString="0"/>
    </cacheField>
    <cacheField name="[Measures].[Sum of Price]" caption="Sum of Price" numFmtId="0" hierarchy="23"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3078707" backgroundQuery="1" createdVersion="8" refreshedVersion="8" minRefreshableVersion="3" recordCount="0" supportSubquery="1" supportAdvancedDrill="1" xr:uid="{D4AE9F10-D3F5-4974-9644-F24940CC92BD}">
  <cacheSource type="external" connectionId="4"/>
  <cacheFields count="4">
    <cacheField name="[Building Master].[Building].[Building]" caption="Building" numFmtId="0" level="1">
      <sharedItems count="5">
        <s v="B1000"/>
        <s v="B1001"/>
        <s v="B1005"/>
        <s v="B1006"/>
        <s v="B1008"/>
      </sharedItems>
    </cacheField>
    <cacheField name="[Rates].[Energy Type].[Energy Type]" caption="Energy Type" numFmtId="0" hierarchy="15" level="1">
      <sharedItems containsSemiMixedTypes="0" containsNonDate="0" containsString="0"/>
    </cacheField>
    <cacheField name="[Measures].[Sum of Consumption]" caption="Sum of Consumption" numFmtId="0" hierarchy="26"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3773146" backgroundQuery="1" createdVersion="8" refreshedVersion="8" minRefreshableVersion="3" recordCount="0" supportSubquery="1" supportAdvancedDrill="1" xr:uid="{D10F1158-EA6B-4637-899B-94F90F83F8BD}">
  <cacheSource type="external" connectionId="4"/>
  <cacheFields count="4">
    <cacheField name="[Rates].[Energy Type].[Energy Type]" caption="Energy Type" numFmtId="0" hierarchy="15" level="1">
      <sharedItems containsSemiMixedTypes="0" containsNonDate="0" containsString="0"/>
    </cacheField>
    <cacheField name="[Building Master].[Building].[Building]" caption="Building" numFmtId="0" level="1">
      <sharedItems count="5">
        <s v="B1000"/>
        <s v="B1001"/>
        <s v="B1003"/>
        <s v="B1006"/>
        <s v="B1008"/>
      </sharedItems>
    </cacheField>
    <cacheField name="[Measures].[Sum of Price]" caption="Sum of Price" numFmtId="0" hierarchy="23"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1"/>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4351854" backgroundQuery="1" createdVersion="8" refreshedVersion="8" minRefreshableVersion="3" recordCount="0" supportSubquery="1" supportAdvancedDrill="1" xr:uid="{4928AF02-ECAB-4E55-9051-9AE6D68B0B1F}">
  <cacheSource type="external" connectionId="4"/>
  <cacheFields count="4">
    <cacheField name="[Building Master].[City].[City]" caption="City" numFmtId="0" hierarchy="1" level="1">
      <sharedItems count="5">
        <s v="Chicago"/>
        <s v="Houston"/>
        <s v="Los Angeles"/>
        <s v="New York"/>
        <s v="Phoenix"/>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5046293" backgroundQuery="1" createdVersion="8" refreshedVersion="8" minRefreshableVersion="3" recordCount="0" supportSubquery="1" supportAdvancedDrill="1" xr:uid="{6E01405B-4BAE-4A5B-BEB6-E0EA31FAE7AE}">
  <cacheSource type="external" connectionId="4"/>
  <cacheFields count="4">
    <cacheField name="[Rates].[Energy Type].[Energy Type]" caption="Energy Type" numFmtId="0" hierarchy="15" level="1">
      <sharedItems containsSemiMixedTypes="0" containsNonDate="0" containsString="0"/>
    </cacheField>
    <cacheField name="[Measures].[Sum of Price]" caption="Sum of Price" numFmtId="0" hierarchy="23" level="32767"/>
    <cacheField name="[Building Master].[City].[City]" caption="City" numFmtId="0" hierarchy="1" level="1">
      <sharedItems count="5">
        <s v="Chicago"/>
        <s v="Houston"/>
        <s v="Los Angeles"/>
        <s v="New York"/>
        <s v="Phoenix"/>
      </sharedItems>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2"/>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5393516" backgroundQuery="1" createdVersion="8" refreshedVersion="8" minRefreshableVersion="3" recordCount="0" supportSubquery="1" supportAdvancedDrill="1" xr:uid="{4325862C-68D8-4DC8-9EBA-25CCE6622D54}">
  <cacheSource type="external" connectionId="4"/>
  <cacheFields count="3">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5856478" backgroundQuery="1" createdVersion="8" refreshedVersion="8" minRefreshableVersion="3" recordCount="0" supportSubquery="1" supportAdvancedDrill="1" xr:uid="{3B8A15DA-C12B-4390-9F64-7EFC03E92439}">
  <cacheSource type="external" connectionId="4"/>
  <cacheFields count="3">
    <cacheField name="[Measures].[Sum of Price]" caption="Sum of Price" numFmtId="0" hierarchy="23" level="32767"/>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6203701" backgroundQuery="1" createdVersion="8" refreshedVersion="8" minRefreshableVersion="3" recordCount="0" supportSubquery="1" supportAdvancedDrill="1" xr:uid="{5820EA5B-080F-463E-98BD-D6ECAE0CB157}">
  <cacheSource type="external" connectionId="4"/>
  <cacheFields count="3">
    <cacheField name="[Rates].[Energy Type].[Energy Type]" caption="Energy Type" numFmtId="0" hierarchy="15" level="1">
      <sharedItems containsSemiMixedTypes="0" containsNonDate="0" containsString="0"/>
    </cacheField>
    <cacheField name="[Measures].[Average of Consumption]" caption="Average of Consumption" numFmtId="0" hierarchy="28"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416550925" backgroundQuery="1" createdVersion="8" refreshedVersion="8" minRefreshableVersion="3" recordCount="0" supportSubquery="1" supportAdvancedDrill="1" xr:uid="{46F4635F-8A86-4BA2-8A45-2CA076455BE0}">
  <cacheSource type="external" connectionId="4"/>
  <cacheFields count="3">
    <cacheField name="[Rates].[Energy Type].[Energy Type]" caption="Energy Type" numFmtId="0" hierarchy="15" level="1">
      <sharedItems containsSemiMixedTypes="0" containsNonDate="0" containsString="0"/>
    </cacheField>
    <cacheField name="[Measures].[Average of Price]" caption="Average of Price" numFmtId="0" hierarchy="27"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79965278" backgroundQuery="1" createdVersion="8" refreshedVersion="8" minRefreshableVersion="3" recordCount="0" supportSubquery="1" supportAdvancedDrill="1" xr:uid="{CD187036-ECDE-4D54-AC79-BEB3D2EDF614}">
  <cacheSource type="external" connectionId="4"/>
  <cacheFields count="4">
    <cacheField name="[Energy Consumptions].[Date (Year)].[Date (Year)]" caption="Date (Year)" numFmtId="0" hierarchy="11" level="1">
      <sharedItems count="4">
        <s v="2016"/>
        <s v="2017"/>
        <s v="2018"/>
        <s v="2019"/>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Year]" caption="Year" attribute="1" defaultMemberUniqueName="[Energy Consumptions].[Year].[All]" allUniqueName="[Energy Consumptions].[Year].[All]" dimensionUniqueName="[Energy Consumptions]" displayFolder="" count="2" memberValueDatatype="20" unbalanced="0"/>
    <cacheHierarchy uniqueName="[Energy Consumptions].[Month Name]" caption="Month Name" attribute="1" defaultMemberUniqueName="[Energy Consumptions].[Month Name].[All]" allUniqueName="[Energy Consumptions].[Month Name].[All]" dimensionUniqueName="[Energy Consumptions]" displayFolder="" count="2"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2" memberValueDatatype="20" unbalanced="0"/>
    <cacheHierarchy uniqueName="[Energy Consumptions].[Merged]" caption="Merged" attribute="1" defaultMemberUniqueName="[Energy Consumptions].[Merged].[All]" allUniqueName="[Energy Consumptions].[Merged].[All]" dimensionUniqueName="[Energy Consumptions]" displayFolder="" count="2" memberValueDatatype="130" unbalanced="0"/>
    <cacheHierarchy uniqueName="[Energy Consumptions].[Price]" caption="Price" attribute="1" defaultMemberUniqueName="[Energy Consumptions].[Price].[All]" allUniqueName="[Energy Consumptions].[Price].[All]" dimensionUniqueName="[Energy Consumptions]" displayFolder="" count="2"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0"/>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2"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2" memberValueDatatype="5" unbalanced="0"/>
    <cacheHierarchy uniqueName="[Rates].[Key]" caption="Key" attribute="1" defaultMemberUniqueName="[Rates].[Key].[All]" allUniqueName="[Rates].[Key].[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05092591" backgroundQuery="1" createdVersion="8" refreshedVersion="8" minRefreshableVersion="3" recordCount="0" supportSubquery="1" supportAdvancedDrill="1" xr:uid="{1D93A901-13E1-4496-897F-01F8C5E24191}">
  <cacheSource type="external" connectionId="4"/>
  <cacheFields count="4">
    <cacheField name="[Energy Consumptions].[Date (Year)].[Date (Year)]" caption="Date (Year)" numFmtId="0" hierarchy="11" level="1">
      <sharedItems count="4">
        <s v="2016"/>
        <s v="2017"/>
        <s v="2018"/>
        <s v="2019"/>
      </sharedItems>
    </cacheField>
    <cacheField name="[Measures].[Sum of Price]" caption="Sum of Price" numFmtId="0" hierarchy="23" level="32767"/>
    <cacheField name="[Rates].[Energy Type].[Energy Type]" caption="Energy Type" numFmtId="0" hierarchy="15" level="1">
      <sharedItems containsSemiMixedTypes="0" containsNonDate="0" containsString="0"/>
    </cacheField>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0"/>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3263888" backgroundQuery="1" createdVersion="8" refreshedVersion="8" minRefreshableVersion="3" recordCount="0" supportSubquery="1" supportAdvancedDrill="1" xr:uid="{DA5F2D78-E1A9-4E6A-92AF-12FC143D74A6}">
  <cacheSource type="external" connectionId="4"/>
  <cacheFields count="4">
    <cacheField name="[Energy Consumptions].[Date (Month)].[Date (Month)]" caption="Date (Month)" numFmtId="0" hierarchy="13" level="1">
      <sharedItems count="12">
        <s v="Jan"/>
        <s v="Feb"/>
        <s v="Mar"/>
        <s v="Apr"/>
        <s v="May"/>
        <s v="Jun"/>
        <s v="Jul"/>
        <s v="Aug"/>
        <s v="Sep"/>
        <s v="Oct"/>
        <s v="Nov"/>
        <s v="Dec"/>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4074073" backgroundQuery="1" createdVersion="8" refreshedVersion="8" minRefreshableVersion="3" recordCount="0" supportSubquery="1" supportAdvancedDrill="1" xr:uid="{E059415D-BFD3-4BA8-BCA3-872AC999BE22}">
  <cacheSource type="external" connectionId="4"/>
  <cacheFields count="4">
    <cacheField name="[Energy Consumptions].[Date (Month)].[Date (Month)]" caption="Date (Month)" numFmtId="0" hierarchy="13" level="1">
      <sharedItems count="12">
        <s v="Jan"/>
        <s v="Feb"/>
        <s v="Mar"/>
        <s v="Apr"/>
        <s v="May"/>
        <s v="Jun"/>
        <s v="Jul"/>
        <s v="Aug"/>
        <s v="Sep"/>
        <s v="Oct"/>
        <s v="Nov"/>
        <s v="Dec"/>
      </sharedItems>
    </cacheField>
    <cacheField name="[Measures].[Sum of Price]" caption="Sum of Price" numFmtId="0" hierarchy="23" level="32767"/>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4537035" backgroundQuery="1" createdVersion="8" refreshedVersion="8" minRefreshableVersion="3" recordCount="0" supportSubquery="1" supportAdvancedDrill="1" xr:uid="{EC64B2B5-4F90-4731-857D-3E2122DC0F08}">
  <cacheSource type="external" connectionId="4"/>
  <cacheFields count="3">
    <cacheField name="[Measures].[Distinct Count of Building]" caption="Distinct Count of Building" numFmtId="0" hierarchy="31" level="32767"/>
    <cacheField name="[Energy Consumptions].[Attribute].[Attribute]" caption="Attribute" numFmtId="0" hierarchy="7"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2">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fieldsUsage count="2">
        <fieldUsage x="-1"/>
        <fieldUsage x="1"/>
      </fieldsUsage>
    </cacheHierarchy>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y uniqueName="[Measures].[Count of Building 2]" caption="Count of Building 2" measure="1" displayFolder="" measureGroup="Energy Consumptions" count="0" hidden="1">
      <extLst>
        <ext xmlns:x15="http://schemas.microsoft.com/office/spreadsheetml/2010/11/main" uri="{B97F6D7D-B522-45F9-BDA1-12C45D357490}">
          <x15:cacheHierarchy aggregatedColumn="4"/>
        </ext>
      </extLst>
    </cacheHierarchy>
    <cacheHierarchy uniqueName="[Measures].[Distinct Count of Building]" caption="Distinct Count of Building" measure="1" displayFolder="" measureGroup="Energy Consumption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4884258" backgroundQuery="1" createdVersion="8" refreshedVersion="8" minRefreshableVersion="3" recordCount="0" supportSubquery="1" supportAdvancedDrill="1" xr:uid="{833C680B-9643-49AD-BA79-29A7E6209B8B}">
  <cacheSource type="external" connectionId="4"/>
  <cacheFields count="3">
    <cacheField name="[Rates].[Energy Type].[Energy Type]" caption="Energy Type" numFmtId="0" hierarchy="15" level="1">
      <sharedItems count="1">
        <s v="Gas"/>
      </sharedItems>
    </cacheField>
    <cacheField name="[Measures].[Sum of Consumption]" caption="Sum of Consumption" numFmtId="0" hierarchy="26"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534722" backgroundQuery="1" createdVersion="8" refreshedVersion="8" minRefreshableVersion="3" recordCount="0" supportSubquery="1" supportAdvancedDrill="1" xr:uid="{DC87994E-ECD4-4330-A14C-A459FD845D1A}">
  <cacheSource type="external" connectionId="4"/>
  <cacheFields count="3">
    <cacheField name="[Measures].[Sum of Price]" caption="Sum of Price" numFmtId="0" hierarchy="23" level="32767"/>
    <cacheField name="[Rates].[Energy Type].[Energy Type]" caption="Energy Type" numFmtId="0" hierarchy="15" level="1">
      <sharedItems count="1">
        <s v="Gas"/>
      </sharedItems>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5810182" backgroundQuery="1" createdVersion="8" refreshedVersion="8" minRefreshableVersion="3" recordCount="0" supportSubquery="1" supportAdvancedDrill="1" xr:uid="{B364E46E-3E68-40B7-AB6D-DC729FE536E2}">
  <cacheSource type="external" connectionId="4"/>
  <cacheFields count="3">
    <cacheField name="[Rates].[Energy Type].[Energy Type]" caption="Energy Type" numFmtId="0" hierarchy="15" level="1">
      <sharedItems count="1">
        <s v="Gas"/>
      </sharedItems>
    </cacheField>
    <cacheField name="[Measures].[Average of Consumption]" caption="Average of Consumption" numFmtId="0" hierarchy="28"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6157405" backgroundQuery="1" createdVersion="8" refreshedVersion="8" minRefreshableVersion="3" recordCount="0" supportSubquery="1" supportAdvancedDrill="1" xr:uid="{B121F49B-A496-418B-9A4B-944D24677C21}">
  <cacheSource type="external" connectionId="4"/>
  <cacheFields count="4">
    <cacheField name="[Rates].[Energy Type].[Energy Type]" caption="Energy Type" numFmtId="0" hierarchy="15" level="1">
      <sharedItems count="1">
        <s v="Gas"/>
      </sharedItems>
    </cacheField>
    <cacheField name="[Measures].[Average of Price]" caption="Average of Price" numFmtId="0" hierarchy="27" level="32767"/>
    <cacheField name="[Energy Consumptions].[Attribute].[Attribute]" caption="Attribute" numFmtId="0" hierarchy="7" level="1">
      <sharedItems count="1">
        <s v="Gas"/>
      </sharedItems>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fieldsUsage count="2">
        <fieldUsage x="-1"/>
        <fieldUsage x="2"/>
      </fieldsUsage>
    </cacheHierarchy>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696759" backgroundQuery="1" createdVersion="8" refreshedVersion="8" minRefreshableVersion="3" recordCount="0" supportSubquery="1" supportAdvancedDrill="1" xr:uid="{FF72B617-4D60-4672-B4DB-42EBA8B2E14D}">
  <cacheSource type="external" connectionId="4"/>
  <cacheFields count="4">
    <cacheField name="[Building Master].[Building].[Building]" caption="Building" numFmtId="0" level="1">
      <sharedItems count="5">
        <s v="B1000"/>
        <s v="B1001"/>
        <s v="B1002"/>
        <s v="B1004"/>
        <s v="B1008"/>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7662037" backgroundQuery="1" createdVersion="8" refreshedVersion="8" minRefreshableVersion="3" recordCount="0" supportSubquery="1" supportAdvancedDrill="1" xr:uid="{AC3D0562-867A-4C81-B5D2-FF5EC29BA33C}">
  <cacheSource type="external" connectionId="4"/>
  <cacheFields count="4">
    <cacheField name="[Building Master].[Building].[Building]" caption="Building" numFmtId="0" level="1">
      <sharedItems count="5">
        <s v="B1000"/>
        <s v="B1001"/>
        <s v="B1004"/>
        <s v="B1008"/>
        <s v="B1010"/>
      </sharedItems>
    </cacheField>
    <cacheField name="[Rates].[Energy Type].[Energy Type]" caption="Energy Type" numFmtId="0" hierarchy="15" level="1">
      <sharedItems containsSemiMixedTypes="0" containsNonDate="0" containsString="0"/>
    </cacheField>
    <cacheField name="[Measures].[Sum of Price]" caption="Sum of Price" numFmtId="0" hierarchy="23"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8356483" backgroundQuery="1" createdVersion="8" refreshedVersion="8" minRefreshableVersion="3" recordCount="0" supportSubquery="1" supportAdvancedDrill="1" xr:uid="{C0C7EA58-50F4-4AEA-ABB5-67FC6922C1B7}">
  <cacheSource type="external" connectionId="4"/>
  <cacheFields count="4">
    <cacheField name="[Building Master].[City].[City]" caption="City" numFmtId="0" hierarchy="1" level="1">
      <sharedItems count="5">
        <s v="Chicago"/>
        <s v="Houston"/>
        <s v="Los Angeles"/>
        <s v="New York"/>
        <s v="Phoenix"/>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095829050922" backgroundQuery="1" createdVersion="8" refreshedVersion="8" minRefreshableVersion="3" recordCount="0" supportSubquery="1" supportAdvancedDrill="1" xr:uid="{481554B4-FE32-49EF-85C9-EF2E8FE31DFD}">
  <cacheSource type="external" connectionId="4"/>
  <cacheFields count="4">
    <cacheField name="[Building Master].[City].[City]" caption="City" numFmtId="0" hierarchy="1" level="1">
      <sharedItems count="5">
        <s v="Chicago"/>
        <s v="Houston"/>
        <s v="Los Angeles"/>
        <s v="New York"/>
        <s v="Phoenix"/>
      </sharedItems>
    </cacheField>
    <cacheField name="[Rates].[Energy Type].[Energy Type]" caption="Energy Type" numFmtId="0" hierarchy="15" level="1">
      <sharedItems containsSemiMixedTypes="0" containsNonDate="0" containsString="0"/>
    </cacheField>
    <cacheField name="[Measures].[Sum of Price]" caption="Sum of Price" numFmtId="0" hierarchy="23" level="32767"/>
    <cacheField name="[Energy Consumptions].[Date (Year)].[Date (Year)]" caption="Date (Year)" numFmtId="0" hierarchy="11"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3495368" backgroundQuery="1" createdVersion="8" refreshedVersion="8" minRefreshableVersion="3" recordCount="0" supportSubquery="1" supportAdvancedDrill="1" xr:uid="{9041460F-45B0-499E-9B83-2DFD86A5BDAE}">
  <cacheSource type="external" connectionId="4"/>
  <cacheFields count="4">
    <cacheField name="[Energy Consumptions].[Date (Year)].[Date (Year)]" caption="Date (Year)" numFmtId="0" hierarchy="11" level="1">
      <sharedItems count="4">
        <s v="2016"/>
        <s v="2017"/>
        <s v="2018"/>
        <s v="2019"/>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Year]" caption="Year" attribute="1" defaultMemberUniqueName="[Energy Consumptions].[Year].[All]" allUniqueName="[Energy Consumptions].[Year].[All]" dimensionUniqueName="[Energy Consumptions]" displayFolder="" count="2" memberValueDatatype="20" unbalanced="0"/>
    <cacheHierarchy uniqueName="[Energy Consumptions].[Month Name]" caption="Month Name" attribute="1" defaultMemberUniqueName="[Energy Consumptions].[Month Name].[All]" allUniqueName="[Energy Consumptions].[Month Name].[All]" dimensionUniqueName="[Energy Consumptions]" displayFolder="" count="2"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2" memberValueDatatype="20" unbalanced="0"/>
    <cacheHierarchy uniqueName="[Energy Consumptions].[Merged]" caption="Merged" attribute="1" defaultMemberUniqueName="[Energy Consumptions].[Merged].[All]" allUniqueName="[Energy Consumptions].[Merged].[All]" dimensionUniqueName="[Energy Consumptions]" displayFolder="" count="2" memberValueDatatype="130" unbalanced="0"/>
    <cacheHierarchy uniqueName="[Energy Consumptions].[Price]" caption="Price" attribute="1" defaultMemberUniqueName="[Energy Consumptions].[Price].[All]" allUniqueName="[Energy Consumptions].[Price].[All]" dimensionUniqueName="[Energy Consumptions]" displayFolder="" count="2"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0"/>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2"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2" memberValueDatatype="5" unbalanced="0"/>
    <cacheHierarchy uniqueName="[Rates].[Key]" caption="Key" attribute="1" defaultMemberUniqueName="[Rates].[Key].[All]" allUniqueName="[Rates].[Key].[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395833" backgroundQuery="1" createdVersion="8" refreshedVersion="8" minRefreshableVersion="3" recordCount="0" supportSubquery="1" supportAdvancedDrill="1" xr:uid="{06072AFF-20AA-4CC1-A84D-E0F834C49C26}">
  <cacheSource type="external" connectionId="4"/>
  <cacheFields count="3">
    <cacheField name="[Measures].[Distinct Count of Building]" caption="Distinct Count of Building" numFmtId="0" hierarchy="31" level="32767"/>
    <cacheField name="[Energy Consumptions].[Attribute].[Attribute]" caption="Attribute" numFmtId="0" hierarchy="7" level="1">
      <sharedItems containsSemiMixedTypes="0" containsNonDate="0" containsString="0"/>
    </cacheField>
    <cacheField name="[Energy Consumptions].[Date (Month)].[Date (Month)]" caption="Date (Month)" numFmtId="0" hierarchy="13" level="1">
      <sharedItems containsSemiMixedTypes="0" containsNonDate="0" containsString="0"/>
    </cacheField>
  </cacheFields>
  <cacheHierarchies count="32">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fieldsUsage count="2">
        <fieldUsage x="-1"/>
        <fieldUsage x="1"/>
      </fieldsUsage>
    </cacheHierarchy>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y uniqueName="[Measures].[Count of Building 2]" caption="Count of Building 2" measure="1" displayFolder="" measureGroup="Energy Consumptions" count="0" hidden="1">
      <extLst>
        <ext xmlns:x15="http://schemas.microsoft.com/office/spreadsheetml/2010/11/main" uri="{B97F6D7D-B522-45F9-BDA1-12C45D357490}">
          <x15:cacheHierarchy aggregatedColumn="4"/>
        </ext>
      </extLst>
    </cacheHierarchy>
    <cacheHierarchy uniqueName="[Measures].[Distinct Count of Building]" caption="Distinct Count of Building" measure="1" displayFolder="" measureGroup="Energy Consumption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4305554" backgroundQuery="1" createdVersion="8" refreshedVersion="8" minRefreshableVersion="3" recordCount="0" supportSubquery="1" supportAdvancedDrill="1" xr:uid="{DBACCD9F-7476-4DDD-B1B6-83B3E647DA85}">
  <cacheSource type="external" connectionId="4"/>
  <cacheFields count="3">
    <cacheField name="[Rates].[Energy Type].[Energy Type]" caption="Energy Type" numFmtId="0" hierarchy="15" level="1">
      <sharedItems containsSemiMixedTypes="0" containsNonDate="0" containsString="0"/>
    </cacheField>
    <cacheField name="[Measures].[Sum of Consumption]" caption="Sum of Consumption" numFmtId="0" hierarchy="26"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4768516" backgroundQuery="1" createdVersion="8" refreshedVersion="8" minRefreshableVersion="3" recordCount="0" supportSubquery="1" supportAdvancedDrill="1" xr:uid="{68264D8A-A07A-42E8-BFA6-A766654A1272}">
  <cacheSource type="external" connectionId="4"/>
  <cacheFields count="3">
    <cacheField name="[Rates].[Energy Type].[Energy Type]" caption="Energy Type" numFmtId="0" hierarchy="15" level="1">
      <sharedItems containsSemiMixedTypes="0" containsNonDate="0" containsString="0"/>
    </cacheField>
    <cacheField name="[Measures].[Sum of Price]" caption="Sum of Price" numFmtId="0" hierarchy="23"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5115739" backgroundQuery="1" createdVersion="8" refreshedVersion="8" minRefreshableVersion="3" recordCount="0" supportSubquery="1" supportAdvancedDrill="1" xr:uid="{47F0D11E-5692-47FD-821F-71DCB04B59FE}">
  <cacheSource type="external" connectionId="4"/>
  <cacheFields count="3">
    <cacheField name="[Rates].[Energy Type].[Energy Type]" caption="Energy Type" numFmtId="0" hierarchy="15" level="1">
      <sharedItems containsSemiMixedTypes="0" containsNonDate="0" containsString="0"/>
    </cacheField>
    <cacheField name="[Measures].[Average of Consumption]" caption="Average of Consumption" numFmtId="0" hierarchy="28"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5578701" backgroundQuery="1" createdVersion="8" refreshedVersion="8" minRefreshableVersion="3" recordCount="0" supportSubquery="1" supportAdvancedDrill="1" xr:uid="{48379B84-9FB2-40A1-8A4B-7DD45B6652E2}">
  <cacheSource type="external" connectionId="4"/>
  <cacheFields count="3">
    <cacheField name="[Rates].[Energy Type].[Energy Type]" caption="Energy Type" numFmtId="0" hierarchy="15" level="1">
      <sharedItems containsSemiMixedTypes="0" containsNonDate="0" containsString="0"/>
    </cacheField>
    <cacheField name="[Measures].[Average of Price]" caption="Average of Price" numFmtId="0" hierarchy="27"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6157409" backgroundQuery="1" createdVersion="8" refreshedVersion="8" minRefreshableVersion="3" recordCount="0" supportSubquery="1" supportAdvancedDrill="1" xr:uid="{D569134F-EE00-4ADA-A80D-226E20F3DE70}">
  <cacheSource type="external" connectionId="4"/>
  <cacheFields count="4">
    <cacheField name="[Building Master].[Building].[Building]" caption="Building" numFmtId="0" level="1">
      <sharedItems count="5">
        <s v="B1003"/>
        <s v="B1006"/>
        <s v="B1007"/>
        <s v="B1009"/>
        <s v="B1010"/>
      </sharedItems>
    </cacheField>
    <cacheField name="[Measures].[Sum of Consumption]" caption="Sum of Consumption" numFmtId="0" hierarchy="26" level="32767"/>
    <cacheField name="[Rates].[Energy Type].[Energy Type]" caption="Energy Type" numFmtId="0" hierarchy="15" level="1">
      <sharedItems containsSemiMixedTypes="0" containsNonDate="0" containsString="0"/>
    </cacheField>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6736109" backgroundQuery="1" createdVersion="8" refreshedVersion="8" minRefreshableVersion="3" recordCount="0" supportSubquery="1" supportAdvancedDrill="1" xr:uid="{3DA1DAD2-CDDA-497E-82F9-3BD1AF1CDC1B}">
  <cacheSource type="external" connectionId="4"/>
  <cacheFields count="4">
    <cacheField name="[Building Master].[Building].[Building]" caption="Building" numFmtId="0" level="1">
      <sharedItems count="5">
        <s v="B1003"/>
        <s v="B1006"/>
        <s v="B1007"/>
        <s v="B1009"/>
        <s v="B1010"/>
      </sharedItems>
    </cacheField>
    <cacheField name="[Rates].[Energy Type].[Energy Type]" caption="Energy Type" numFmtId="0" hierarchy="15" level="1">
      <sharedItems containsSemiMixedTypes="0" containsNonDate="0" containsString="0"/>
    </cacheField>
    <cacheField name="[Measures].[Sum of Price]" caption="Sum of Price" numFmtId="0" hierarchy="23"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7430556" backgroundQuery="1" createdVersion="8" refreshedVersion="8" minRefreshableVersion="3" recordCount="0" supportSubquery="1" supportAdvancedDrill="1" xr:uid="{41F75AD2-DBA5-43B9-AD7B-2A14DB7350D8}">
  <cacheSource type="external" connectionId="4"/>
  <cacheFields count="4">
    <cacheField name="[Building Master].[City].[City]" caption="City" numFmtId="0" hierarchy="1" level="1">
      <sharedItems count="5">
        <s v="Chicago"/>
        <s v="Houston"/>
        <s v="Los Angeles"/>
        <s v="New York"/>
        <s v="Phoenix"/>
      </sharedItems>
    </cacheField>
    <cacheField name="[Rates].[Energy Type].[Energy Type]" caption="Energy Type" numFmtId="0" hierarchy="15" level="1">
      <sharedItems containsSemiMixedTypes="0" containsNonDate="0" containsString="0"/>
    </cacheField>
    <cacheField name="[Measures].[Sum of Consumption]" caption="Sum of Consumption" numFmtId="0" hierarchy="26"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8125002" backgroundQuery="1" createdVersion="8" refreshedVersion="8" minRefreshableVersion="3" recordCount="0" supportSubquery="1" supportAdvancedDrill="1" xr:uid="{92CA8E63-8706-491A-86E9-703A46C2F6A4}">
  <cacheSource type="external" connectionId="4"/>
  <cacheFields count="4">
    <cacheField name="[Building Master].[City].[City]" caption="City" numFmtId="0" hierarchy="1" level="1">
      <sharedItems count="5">
        <s v="Chicago"/>
        <s v="Houston"/>
        <s v="Los Angeles"/>
        <s v="New York"/>
        <s v="Phoenix"/>
      </sharedItems>
    </cacheField>
    <cacheField name="[Rates].[Energy Type].[Energy Type]" caption="Energy Type" numFmtId="0" hierarchy="15" level="1">
      <sharedItems containsSemiMixedTypes="0" containsNonDate="0" containsString="0"/>
    </cacheField>
    <cacheField name="[Measures].[Sum of Price]" caption="Sum of Price" numFmtId="0" hierarchy="23"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102028819441" backgroundQuery="1" createdVersion="8" refreshedVersion="8" minRefreshableVersion="3" recordCount="0" supportSubquery="1" supportAdvancedDrill="1" xr:uid="{3A78C631-8AD1-4584-8D43-E3461F02310E}">
  <cacheSource type="external" connectionId="4"/>
  <cacheFields count="4">
    <cacheField name="[Rates].[Energy Type].[Energy Type]" caption="Energy Type" numFmtId="0" hierarchy="15" level="1">
      <sharedItems containsSemiMixedTypes="0" containsNonDate="0" containsString="0"/>
    </cacheField>
    <cacheField name="[Energy Consumptions].[Date (Year)].[Date (Year)]" caption="Date (Year)" numFmtId="0" hierarchy="11" level="1">
      <sharedItems count="4">
        <s v="2016"/>
        <s v="2017"/>
        <s v="2018"/>
        <s v="2019"/>
      </sharedItems>
    </cacheField>
    <cacheField name="[Measures].[Sum of Price]" caption="Sum of Price" numFmtId="0" hierarchy="23" level="32767"/>
    <cacheField name="[Energy Consumptions].[Date (Month)].[Date (Month)]" caption="Date (Month)" numFmtId="0" hierarchy="13"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3"/>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1.026119097223" backgroundQuery="1" createdVersion="3" refreshedVersion="8" minRefreshableVersion="3" recordCount="0" supportSubquery="1" supportAdvancedDrill="1" xr:uid="{D3A8D60E-815F-437A-826D-D1EDB40F074A}">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942726811"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1.026154861109" backgroundQuery="1" createdVersion="3" refreshedVersion="8" minRefreshableVersion="3" recordCount="0" supportSubquery="1" supportAdvancedDrill="1" xr:uid="{CB7CF51D-39B6-49D2-B918-E6EA9CF4B2C1}">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Year]" caption="Year" attribute="1" defaultMemberUniqueName="[Energy Consumptions].[Year].[All]" allUniqueName="[Energy Consumptions].[Year].[All]" dimensionUniqueName="[Energy Consumptions]" displayFolder="" count="0" memberValueDatatype="20" unbalanced="0"/>
    <cacheHierarchy uniqueName="[Energy Consumptions].[Month Name]" caption="Month Name" attribute="1" defaultMemberUniqueName="[Energy Consumptions].[Month Name].[All]" allUniqueName="[Energy Consumptions].[Month Name].[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Merged]" caption="Merged" attribute="1" defaultMemberUniqueName="[Energy Consumptions].[Merged].[All]" allUniqueName="[Energy Consumptions].[Merged].[All]" dimensionUniqueName="[Energy Consumptions]" displayFolder="" count="0" memberValueDatatype="130" unbalanced="0"/>
    <cacheHierarchy uniqueName="[Energy Consumptions].[Price]" caption="Price" attribute="1" defaultMemberUniqueName="[Energy Consumptions].[Price].[All]" allUniqueName="[Energy Consumptions].[Price].[All]" dimensionUniqueName="[Energy Consumptions]" displayFolder="" count="0" memberValueDatatype="6"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Sum of Price]" caption="Sum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Building Master" count="0" hidden="1">
      <extLst>
        <ext xmlns:x15="http://schemas.microsoft.com/office/spreadsheetml/2010/11/main" uri="{B97F6D7D-B522-45F9-BDA1-12C45D357490}">
          <x15:cacheHierarchy aggregatedColumn="1"/>
        </ext>
      </extLst>
    </cacheHierarchy>
    <cacheHierarchy uniqueName="[Measures].[Sum of Consumption]" caption="Sum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Energy Consumptions" count="0" hidden="1">
      <extLst>
        <ext xmlns:x15="http://schemas.microsoft.com/office/spreadsheetml/2010/11/main" uri="{B97F6D7D-B522-45F9-BDA1-12C45D357490}">
          <x15:cacheHierarchy aggregatedColumn="10"/>
        </ext>
      </extLst>
    </cacheHierarchy>
    <cacheHierarchy uniqueName="[Measures].[Average of Consumption]" caption="Average of Consumption" measure="1" displayFolder="" measureGroup="Energy Consumptions" count="0" hidden="1">
      <extLst>
        <ext xmlns:x15="http://schemas.microsoft.com/office/spreadsheetml/2010/11/main" uri="{B97F6D7D-B522-45F9-BDA1-12C45D357490}">
          <x15:cacheHierarchy aggregatedColumn="8"/>
        </ext>
      </extLst>
    </cacheHierarchy>
    <cacheHierarchy uniqueName="[Measures].[Count of Energy Type]" caption="Count of Energy Type" measure="1" displayFolder="" measureGroup="Rat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3082796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46A985-F97D-43D5-B2F1-13A6551D3D8D}" name="TOTAL BUILDINGS" cacheId="555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Building"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uild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5F1B5E-181F-416D-AF27-09672A9F6DEC}" name="MONTH CONS" cacheId="55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0">
  <location ref="D6:E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Consumption" fld="1" baseField="0" baseItem="0" numFmtId="165"/>
  </dataFields>
  <formats count="1">
    <format dxfId="7">
      <pivotArea outline="0" collapsedLevelsAreSubtotals="1" fieldPosition="0"/>
    </format>
  </formats>
  <chartFormats count="3">
    <chartFormat chart="18" format="20" series="1">
      <pivotArea type="data" outline="0" fieldPosition="0">
        <references count="1">
          <reference field="4294967294" count="1" selected="0">
            <x v="0"/>
          </reference>
        </references>
      </pivotArea>
    </chartFormat>
    <chartFormat chart="19" format="21" series="1">
      <pivotArea type="data" outline="0" fieldPosition="0">
        <references count="1">
          <reference field="4294967294" count="1" selected="0">
            <x v="0"/>
          </reference>
        </references>
      </pivotArea>
    </chartFormat>
    <chartFormat chart="20" format="2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A914AB-5CCA-4611-95F6-2D311D86D92F}" name="cities price" cacheId="555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2">
  <location ref="G22:H2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2"/>
    </i>
    <i>
      <x v="4"/>
    </i>
    <i>
      <x v="1"/>
    </i>
  </rowItems>
  <colItems count="1">
    <i/>
  </colItems>
  <dataFields count="1">
    <dataField name="Sum of Price" fld="1" baseField="0" baseItem="0"/>
  </dataFields>
  <chartFormats count="1">
    <chartFormat chart="15"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05EF5A-7B68-4D3A-B1C9-4F9E2CEB9749}" name="cities cons" cacheId="555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6">
  <location ref="J22:K2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2"/>
    </i>
    <i>
      <x v="4"/>
    </i>
    <i>
      <x v="1"/>
    </i>
  </rowItems>
  <colItems count="1">
    <i/>
  </colItems>
  <dataFields count="1">
    <dataField name="Sum of Consumption" fld="1" baseField="0" baseItem="0"/>
  </dataFields>
  <chartFormats count="1">
    <chartFormat chart="1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584A65-1310-4870-8E94-83E5A72A842A}" name="buildings price" cacheId="554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0">
  <location ref="A6:B11"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x v="4"/>
    </i>
  </rowItems>
  <colItems count="1">
    <i/>
  </colItems>
  <dataFields count="1">
    <dataField name="Sum of Price" fld="1" baseField="0" baseItem="0"/>
  </dataFields>
  <chartFormats count="1">
    <chartFormat chart="22"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0578F7-35E8-4577-829F-5B851740BA81}" name="AVG CONS" cacheId="55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onsumption" fld="0" subtotal="average" baseField="0" baseItem="0" numFmtId="43"/>
  </dataFields>
  <formats count="1">
    <format dxfId="6">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onsump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A706C6-1A6E-4111-8BA9-CAB30F2E0687}" name="MONTH PRICE" cacheId="551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3">
  <location ref="G6:H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Price" fld="1" baseField="0" baseItem="0"/>
  </dataFields>
  <chartFormats count="1">
    <chartFormat chart="16" format="23"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FCF9EE-ECD9-4D76-B495-25CD3163C3CA}" name="TOTAL PRICE" cacheId="55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ICE"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84B4A7-0E87-4650-8C48-228A83D17CA5}" name="AvG PRICE" cacheId="554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fld="0" subtotal="average"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C7C956-B718-42F9-A0C4-E9958ED27C44}" name="attribute price" cacheId="553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4">
  <location ref="A22:B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Price" fld="1" baseField="0" baseItem="0"/>
  </dataFields>
  <chartFormats count="4">
    <chartFormat chart="28" format="53" series="1">
      <pivotArea type="data" outline="0" fieldPosition="0">
        <references count="1">
          <reference field="4294967294" count="1" selected="0">
            <x v="0"/>
          </reference>
        </references>
      </pivotArea>
    </chartFormat>
    <chartFormat chart="28" format="54">
      <pivotArea type="data" outline="0" fieldPosition="0">
        <references count="2">
          <reference field="4294967294" count="1" selected="0">
            <x v="0"/>
          </reference>
          <reference field="0" count="1" selected="0">
            <x v="0"/>
          </reference>
        </references>
      </pivotArea>
    </chartFormat>
    <chartFormat chart="28" format="55">
      <pivotArea type="data" outline="0" fieldPosition="0">
        <references count="2">
          <reference field="4294967294" count="1" selected="0">
            <x v="0"/>
          </reference>
          <reference field="0" count="1" selected="0">
            <x v="1"/>
          </reference>
        </references>
      </pivotArea>
    </chartFormat>
    <chartFormat chart="28" format="56">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DC3079-6C09-4728-8797-A749367089C9}" name="attribute cons" cacheId="5532" applyNumberFormats="0" applyBorderFormats="0" applyFontFormats="0" applyPatternFormats="0" applyAlignmentFormats="0" applyWidthHeightFormats="1" dataCaption="Values" tag="843146ac-b59f-4ab4-971e-005c0bc6ce53" updatedVersion="8" minRefreshableVersion="3" useAutoFormatting="1" subtotalHiddenItems="1" rowGrandTotals="0" colGrandTotals="0" itemPrintTitles="1" createdVersion="8" indent="0" outline="1" outlineData="1" multipleFieldFilters="0" chartFormat="22">
  <location ref="D22:E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Consumption" fld="1" baseField="0" baseItem="0" numFmtId="165"/>
  </dataFields>
  <formats count="1">
    <format dxfId="5">
      <pivotArea outline="0" collapsedLevelsAreSubtotals="1" fieldPosition="0"/>
    </format>
  </formats>
  <chartFormats count="4">
    <chartFormat chart="17" format="65" series="1">
      <pivotArea type="data" outline="0" fieldPosition="0">
        <references count="1">
          <reference field="4294967294" count="1" selected="0">
            <x v="0"/>
          </reference>
        </references>
      </pivotArea>
    </chartFormat>
    <chartFormat chart="17" format="66">
      <pivotArea type="data" outline="0" fieldPosition="0">
        <references count="2">
          <reference field="4294967294" count="1" selected="0">
            <x v="0"/>
          </reference>
          <reference field="0" count="1" selected="0">
            <x v="0"/>
          </reference>
        </references>
      </pivotArea>
    </chartFormat>
    <chartFormat chart="17" format="67">
      <pivotArea type="data" outline="0" fieldPosition="0">
        <references count="2">
          <reference field="4294967294" count="1" selected="0">
            <x v="0"/>
          </reference>
          <reference field="0" count="1" selected="0">
            <x v="1"/>
          </reference>
        </references>
      </pivotArea>
    </chartFormat>
    <chartFormat chart="17" format="6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5595DF-22FE-4A0C-827A-9DC43A577559}" name="buildings cons" cacheId="554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1">
  <location ref="A14:B1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i>
    <i>
      <x v="4"/>
    </i>
    <i>
      <x v="3"/>
    </i>
  </rowItems>
  <colItems count="1">
    <i/>
  </colItems>
  <dataFields count="1">
    <dataField name="Sum of Consumption" fld="1" baseField="0" baseItem="0"/>
  </dataFields>
  <chartFormats count="1">
    <chartFormat chart="2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98AB48-12D0-4925-9210-E855D088BF2F}" name="TOTAL CONS" cacheId="55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NS" fld="0" baseField="0" baseItem="0" numFmtId="165"/>
  </dataFields>
  <formats count="1">
    <format dxfId="4">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2E152B-52C8-4888-AA24-771A2C7DBEB1}" name="month price" cacheId="608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J8:K20"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1" hier="15" name="[Rates].[Energy Type].&amp;[Water]" cap="Water"/>
  </pageFields>
  <dataFields count="1">
    <dataField name="Sum of Price" fld="2" baseField="0" baseItem="0"/>
  </dataFields>
  <chartFormats count="1">
    <chartFormat chart="12" format="3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B565E92-E79A-49A9-B963-8C05D604127B}" name="year price" cacheId="607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D8:E12" firstHeaderRow="1" firstDataRow="1" firstDataCol="1" rowPageCount="1" colPageCount="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pageFields count="1">
    <pageField fld="2" hier="15" name="[Rates].[Energy Type].&amp;[Water]" cap="Water"/>
  </pageFields>
  <dataFields count="1">
    <dataField name="Sum of Price" fld="1" baseField="0" baseItem="0"/>
  </dataFields>
  <chartFormats count="5">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0" count="1" selected="0">
            <x v="0"/>
          </reference>
        </references>
      </pivotArea>
    </chartFormat>
    <chartFormat chart="10" format="75">
      <pivotArea type="data" outline="0" fieldPosition="0">
        <references count="2">
          <reference field="4294967294" count="1" selected="0">
            <x v="0"/>
          </reference>
          <reference field="0" count="1" selected="0">
            <x v="1"/>
          </reference>
        </references>
      </pivotArea>
    </chartFormat>
    <chartFormat chart="10" format="76">
      <pivotArea type="data" outline="0" fieldPosition="0">
        <references count="2">
          <reference field="4294967294" count="1" selected="0">
            <x v="0"/>
          </reference>
          <reference field="0" count="1" selected="0">
            <x v="2"/>
          </reference>
        </references>
      </pivotArea>
    </chartFormat>
    <chartFormat chart="10" format="77">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FB832D-7C31-4398-8F77-B3AFF9C1A211}" name="PivotTable5" cacheId="6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3:L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Rates].[Energy Type].&amp;[Water]" cap="Water"/>
  </pageFields>
  <dataFields count="1">
    <dataField name="Average of Price" fld="1" subtotal="average"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A08E86-88EE-4FF1-93C0-DB13EBB6EB33}" name="Buildings" cacheId="60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7" name="[Energy Consumptions].[Attribute].&amp;[Water]" cap="Water"/>
  </pageFields>
  <dataFields count="1">
    <dataField name="Distinct Count of Building"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uild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A1ADA75-35B5-4067-9173-CE31D2D7624E}" name="PivotTable12" cacheId="609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5">
  <location ref="G24:H29" firstHeaderRow="1" firstDataRow="1" firstDataCol="1" rowPageCount="1" colPageCount="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v="3"/>
    </i>
    <i>
      <x/>
    </i>
    <i>
      <x v="2"/>
    </i>
    <i>
      <x v="4"/>
    </i>
    <i>
      <x v="1"/>
    </i>
  </rowItems>
  <colItems count="1">
    <i/>
  </colItems>
  <pageFields count="1">
    <pageField fld="2" hier="15" name="[Rates].[Energy Type].&amp;[Water]" cap="Water"/>
  </pageFields>
  <dataFields count="1">
    <dataField name="Sum of Consumption" fld="1" baseField="0" baseItem="0"/>
  </dataFields>
  <chartFormats count="1">
    <chartFormat chart="10" format="9"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24091AF-4C6E-41DC-A8AB-1F4DEC9D8E9E}" name="PivotTable4" cacheId="6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I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Rates].[Energy Type].&amp;[Water]" cap="Water"/>
  </pageFields>
  <dataFields count="1">
    <dataField name="Average of Consumption" fld="1" subtotal="average"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onsump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DAA884F-C582-4D81-BB91-F5C3CCCFB5DD}" name="PivotTable2" cacheId="60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5" name="[Rates].[Energy Type].&amp;[Water]" cap="Water"/>
  </pageFields>
  <dataFields count="1">
    <dataField name="Sum of Consumption"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7C355F9-A65E-43C7-BE8D-9A63B211114B}" name="month cons" cacheId="607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1">
  <location ref="G8:H20"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2" hier="15" name="[Rates].[Energy Type].&amp;[Water]" cap="Water"/>
  </pageFields>
  <dataFields count="1">
    <dataField name="Sum of Consumption" fld="1" baseField="0" baseItem="0"/>
  </dataFields>
  <chartFormats count="1">
    <chartFormat chart="15" format="27"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F586217-843E-4C18-ADF8-0D3E1294785F}" name="PivotTable10" cacheId="608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A16:B21" firstHeaderRow="1" firstDataRow="1" firstDataCol="1" rowPageCount="1" colPageCount="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v="2"/>
    </i>
    <i>
      <x v="1"/>
    </i>
    <i>
      <x/>
    </i>
    <i>
      <x v="4"/>
    </i>
    <i>
      <x v="3"/>
    </i>
  </rowItems>
  <colItems count="1">
    <i/>
  </colItems>
  <pageFields count="1">
    <pageField fld="1" hier="15" name="[Rates].[Energy Type].&amp;[Water]" cap="Water"/>
  </pageFields>
  <dataFields count="1">
    <dataField name="Sum of Consumption" fld="2" baseField="0" baseItem="0"/>
  </dataFields>
  <chartFormats count="1">
    <chartFormat chart="7" format="9"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80B7ADE-0C2F-4D2F-8B60-F8D342716A46}" name="PivotTable13" cacheId="609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location ref="J23:K28"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i>
    <i>
      <x v="2"/>
    </i>
    <i>
      <x v="4"/>
    </i>
    <i>
      <x v="1"/>
    </i>
  </rowItems>
  <colItems count="1">
    <i/>
  </colItems>
  <pageFields count="1">
    <pageField fld="0" hier="15" name="[Rates].[Energy Type].&amp;[Water]" cap="Water"/>
  </pageFields>
  <dataFields count="1">
    <dataField name="Sum of Price" fld="1" baseField="0" baseItem="0"/>
  </dataFields>
  <chartFormats count="1">
    <chartFormat chart="10" format="1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A12FFEA-99C2-4716-B720-DCC544DE9C39}" name="year cons" cacheId="604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3">
  <location ref="A8:B12" firstHeaderRow="1" firstDataRow="1" firstDataCol="1" rowPageCount="1" colPageCount="1"/>
  <pivotFields count="4">
    <pivotField axis="axisRow" allDrilled="1" subtotalTop="0" showAll="0" dataSourceSort="1" defaultSubtotal="0">
      <items count="4">
        <item x="0" e="0"/>
        <item x="1" e="0"/>
        <item x="2" e="0"/>
        <item x="3" e="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pageFields count="1">
    <pageField fld="2" hier="15" name="[Rates].[Energy Type].&amp;[Water]" cap="Water"/>
  </pageFields>
  <dataFields count="1">
    <dataField name="Sum of Consumption" fld="1" baseField="0" baseItem="0"/>
  </dataFields>
  <chartFormats count="5">
    <chartFormat chart="18" format="88" series="1">
      <pivotArea type="data" outline="0" fieldPosition="0">
        <references count="1">
          <reference field="4294967294" count="1" selected="0">
            <x v="0"/>
          </reference>
        </references>
      </pivotArea>
    </chartFormat>
    <chartFormat chart="18" format="89">
      <pivotArea type="data" outline="0" fieldPosition="0">
        <references count="2">
          <reference field="4294967294" count="1" selected="0">
            <x v="0"/>
          </reference>
          <reference field="0" count="1" selected="0">
            <x v="0"/>
          </reference>
        </references>
      </pivotArea>
    </chartFormat>
    <chartFormat chart="18" format="90">
      <pivotArea type="data" outline="0" fieldPosition="0">
        <references count="2">
          <reference field="4294967294" count="1" selected="0">
            <x v="0"/>
          </reference>
          <reference field="0" count="1" selected="0">
            <x v="1"/>
          </reference>
        </references>
      </pivotArea>
    </chartFormat>
    <chartFormat chart="18" format="91">
      <pivotArea type="data" outline="0" fieldPosition="0">
        <references count="2">
          <reference field="4294967294" count="1" selected="0">
            <x v="0"/>
          </reference>
          <reference field="0" count="1" selected="0">
            <x v="2"/>
          </reference>
        </references>
      </pivotArea>
    </chartFormat>
    <chartFormat chart="18" format="92">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9C8656F-51DC-469A-9228-97305700346A}" name="PivotTable3" cacheId="60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5" name="[Rates].[Energy Type].&amp;[Water]" cap="Water"/>
  </pageFields>
  <dataFields count="1">
    <dataField name="Sum of Price"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87A2DD4-21E5-43DD-8A9C-03D4AFD3A8E8}" name="PivotTable11" cacheId="608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D16:E21" firstHeaderRow="1" firstDataRow="1" firstDataCol="1" rowPageCount="1" colPageCount="1"/>
  <pivotFields count="4">
    <pivotField axis="axisPage" allDrilled="1" subtotalTop="0" showAll="0" dataSourceSort="1" defaultSubtotal="0" defaultAttributeDrillState="1"/>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2"/>
    </i>
    <i>
      <x/>
    </i>
    <i>
      <x v="1"/>
    </i>
    <i>
      <x v="3"/>
    </i>
    <i>
      <x v="4"/>
    </i>
  </rowItems>
  <colItems count="1">
    <i/>
  </colItems>
  <pageFields count="1">
    <pageField fld="0" hier="15" name="[Rates].[Energy Type].&amp;[Water]" cap="Water"/>
  </pageFields>
  <dataFields count="1">
    <dataField name="Sum of Price" fld="2" baseField="0" baseItem="0"/>
  </dataFields>
  <chartFormats count="1">
    <chartFormat chart="7" format="1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6DC36C3-C73E-4EB0-9EEC-0C8C017B853A}" name="PivotTable19" cacheId="62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7" name="[Energy Consumptions].[Attribute].&amp;[Gas]" cap="Gas"/>
  </pageFields>
  <dataFields count="1">
    <dataField name="Distinct Count of Building"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uild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EEEF853-5E45-44BC-A8C0-37C62E37B618}" name="PivotTable29" cacheId="626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location ref="D19:E24" firstHeaderRow="1" firstDataRow="1" firstDataCol="1" rowPageCount="1" colPageCount="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v="4"/>
    </i>
    <i>
      <x v="1"/>
    </i>
    <i>
      <x v="3"/>
    </i>
    <i>
      <x/>
    </i>
    <i>
      <x v="2"/>
    </i>
  </rowItems>
  <colItems count="1">
    <i/>
  </colItems>
  <pageFields count="1">
    <pageField fld="1" hier="15" name="[Rates].[Energy Type].&amp;[Gas]" cap="Gas"/>
  </pageFields>
  <dataFields count="1">
    <dataField name="Sum of Price" fld="2" baseField="0" baseItem="0"/>
  </dataFields>
  <chartFormats count="2">
    <chartFormat chart="0" format="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F61EDBB-3334-4F51-BF64-1AD55E3E1ABB}" name="year cons" cacheId="620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9">
  <location ref="A8:B12" firstHeaderRow="1" firstDataRow="1" firstDataCol="1" rowPageCount="1" colPageCount="1"/>
  <pivotFields count="4">
    <pivotField axis="axisRow" allDrilled="1" subtotalTop="0" showAll="0" dataSourceSort="1" defaultSubtotal="0">
      <items count="4">
        <item x="0" e="0"/>
        <item x="1" e="0"/>
        <item x="2" e="0"/>
        <item x="3" e="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pageFields count="1">
    <pageField fld="2" hier="15" name="[Rates].[Energy Type].&amp;[Gas]" cap="Gas"/>
  </pageFields>
  <dataFields count="1">
    <dataField name="Sum of Consumption" fld="1" baseField="0" baseItem="0"/>
  </dataFields>
  <chartFormats count="5">
    <chartFormat chart="34" format="113" series="1">
      <pivotArea type="data" outline="0" fieldPosition="0">
        <references count="1">
          <reference field="4294967294" count="1" selected="0">
            <x v="0"/>
          </reference>
        </references>
      </pivotArea>
    </chartFormat>
    <chartFormat chart="34" format="114">
      <pivotArea type="data" outline="0" fieldPosition="0">
        <references count="2">
          <reference field="4294967294" count="1" selected="0">
            <x v="0"/>
          </reference>
          <reference field="0" count="1" selected="0">
            <x v="0"/>
          </reference>
        </references>
      </pivotArea>
    </chartFormat>
    <chartFormat chart="34" format="115">
      <pivotArea type="data" outline="0" fieldPosition="0">
        <references count="2">
          <reference field="4294967294" count="1" selected="0">
            <x v="0"/>
          </reference>
          <reference field="0" count="1" selected="0">
            <x v="1"/>
          </reference>
        </references>
      </pivotArea>
    </chartFormat>
    <chartFormat chart="34" format="116">
      <pivotArea type="data" outline="0" fieldPosition="0">
        <references count="2">
          <reference field="4294967294" count="1" selected="0">
            <x v="0"/>
          </reference>
          <reference field="0" count="1" selected="0">
            <x v="2"/>
          </reference>
        </references>
      </pivotArea>
    </chartFormat>
    <chartFormat chart="34" format="117">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D8834FA-9B1D-4243-9F3E-5F39F7C1E16B}" name="PivotTable28" cacheId="626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8">
  <location ref="A19:B24" firstHeaderRow="1" firstDataRow="1" firstDataCol="1" rowPageCount="1" colPageCount="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4"/>
    </i>
    <i>
      <x/>
    </i>
    <i>
      <x v="3"/>
    </i>
  </rowItems>
  <colItems count="1">
    <i/>
  </colItems>
  <pageFields count="1">
    <pageField fld="2" hier="15" name="[Rates].[Energy Type].&amp;[Gas]" cap="Gas"/>
  </pageFields>
  <dataFields count="1">
    <dataField name="Sum of Consumption" fld="1" baseField="0" baseItem="0"/>
  </dataFields>
  <chartFormats count="2">
    <chartFormat chart="0" format="0" series="1">
      <pivotArea type="data" outline="0" fieldPosition="0">
        <references count="1">
          <reference field="4294967294" count="1" selected="0">
            <x v="0"/>
          </reference>
        </references>
      </pivotArea>
    </chartFormat>
    <chartFormat chart="13" format="17"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84426BC-DF0B-4C11-93DF-6FA19DDB1E25}" name="month cost" cacheId="624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J6:K18"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2" hier="15" name="[Rates].[Energy Type].&amp;[Gas]" cap="Gas"/>
  </pageFields>
  <dataFields count="1">
    <dataField name="Sum of Price" fld="1" baseField="0" baseItem="0"/>
  </dataFields>
  <chartFormats count="2">
    <chartFormat chart="3" format="0" series="1">
      <pivotArea type="data" outline="0" fieldPosition="0">
        <references count="1">
          <reference field="4294967294" count="1" selected="0">
            <x v="0"/>
          </reference>
        </references>
      </pivotArea>
    </chartFormat>
    <chartFormat chart="12" format="37"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44B0A1B-CCE8-4C9F-BEAB-5272B269BB10}" name="month cons" cacheId="624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G6:H18"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2" hier="15" name="[Rates].[Energy Type].&amp;[Gas]" cap="Gas"/>
  </pageFields>
  <dataFields count="1">
    <dataField name="Sum of Consumption" fld="1" baseField="0" baseItem="0"/>
  </dataFields>
  <chartFormats count="2">
    <chartFormat chart="1" format="0"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28B33D1-C811-475B-94C5-7D1302CBAA38}" name="PivotTable22" cacheId="625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I3:I4" firstHeaderRow="1" firstDataRow="1" firstDataCol="0" rowPageCount="1" colPageCount="1"/>
  <pivotFields count="3">
    <pivotField axis="axisPage"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pageFields count="1">
    <pageField fld="0" hier="15" name="[Rates].[Energy Type].&amp;[Gas]" cap="Gas"/>
  </pageFields>
  <dataFields count="1">
    <dataField name="Average of Consumption" fld="1" subtotal="average"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onsump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6AA8C95-6A00-42AC-AB4A-3B1707D295A4}" name="PivotTable20" cacheId="624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C3:C4" firstHeaderRow="1" firstDataRow="1" firstDataCol="0" rowPageCount="1" colPageCount="1"/>
  <pivotFields count="3">
    <pivotField axis="axisPage"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pageFields count="1">
    <pageField fld="0" hier="15" name="[Rates].[Energy Type].&amp;[Gas]" cap="Gas"/>
  </pageFields>
  <dataFields count="1">
    <dataField name="Sum of Consumption"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16348051-9FF9-4BEB-8CFE-8FC8D98B0B7E}" name="PivotTable23" cacheId="625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L3:L4" firstHeaderRow="1" firstDataRow="1" firstDataCol="0" rowPageCount="1" colPageCount="1"/>
  <pivotFields count="4">
    <pivotField axis="axisPage"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pivotFields>
  <rowItems count="1">
    <i/>
  </rowItems>
  <colItems count="1">
    <i/>
  </colItems>
  <pageFields count="1">
    <pageField fld="0" hier="15" name="[Rates].[Energy Type].&amp;[Gas]" cap="Gas"/>
  </pageFields>
  <dataFields count="1">
    <dataField name="Average of Price" fld="1" subtotal="average"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ivotHierarchy dragToData="1" caption="Average of Consump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B6225DE-7ED0-4533-ACBE-945D6EC08FD7}" name="year cost" cacheId="623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5">
  <location ref="D8:E12" firstHeaderRow="1" firstDataRow="1" firstDataCol="1" rowPageCount="1" colPageCount="1"/>
  <pivotFields count="4">
    <pivotField axis="axisRow" allDrilled="1" subtotalTop="0" showAll="0" dataSourceSort="1" defaultSubtotal="0">
      <items count="4">
        <item x="0" e="0"/>
        <item x="1" e="0"/>
        <item x="2" e="0"/>
        <item x="3" e="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pageFields count="1">
    <pageField fld="2" hier="15" name="[Rates].[Energy Type].&amp;[Gas]" cap="Gas"/>
  </pageFields>
  <dataFields count="1">
    <dataField name="Sum of Price" fld="1" baseField="0" baseItem="0"/>
  </dataFields>
  <chartFormats count="5">
    <chartFormat chart="10" format="98" series="1">
      <pivotArea type="data" outline="0" fieldPosition="0">
        <references count="1">
          <reference field="4294967294" count="1" selected="0">
            <x v="0"/>
          </reference>
        </references>
      </pivotArea>
    </chartFormat>
    <chartFormat chart="10" format="99">
      <pivotArea type="data" outline="0" fieldPosition="0">
        <references count="2">
          <reference field="4294967294" count="1" selected="0">
            <x v="0"/>
          </reference>
          <reference field="0" count="1" selected="0">
            <x v="0"/>
          </reference>
        </references>
      </pivotArea>
    </chartFormat>
    <chartFormat chart="10" format="100">
      <pivotArea type="data" outline="0" fieldPosition="0">
        <references count="2">
          <reference field="4294967294" count="1" selected="0">
            <x v="0"/>
          </reference>
          <reference field="0" count="1" selected="0">
            <x v="1"/>
          </reference>
        </references>
      </pivotArea>
    </chartFormat>
    <chartFormat chart="10" format="101">
      <pivotArea type="data" outline="0" fieldPosition="0">
        <references count="2">
          <reference field="4294967294" count="1" selected="0">
            <x v="0"/>
          </reference>
          <reference field="0" count="1" selected="0">
            <x v="2"/>
          </reference>
        </references>
      </pivotArea>
    </chartFormat>
    <chartFormat chart="10" format="102">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7100638B-387B-4D60-9C94-069AACBA5E78}" name="PivotTable31" cacheId="627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5">
  <location ref="J22:K27" firstHeaderRow="1" firstDataRow="1" firstDataCol="1" rowPageCount="1" colPageCount="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v="3"/>
    </i>
    <i>
      <x/>
    </i>
    <i>
      <x v="2"/>
    </i>
    <i>
      <x v="1"/>
    </i>
    <i>
      <x v="4"/>
    </i>
  </rowItems>
  <colItems count="1">
    <i/>
  </colItems>
  <pageFields count="1">
    <pageField fld="1" hier="15" name="[Rates].[Energy Type].&amp;[Gas]" cap="Gas"/>
  </pageFields>
  <dataFields count="1">
    <dataField name="Sum of Price" fld="2" baseField="0" baseItem="0"/>
  </dataFields>
  <chartFormats count="2">
    <chartFormat chart="1" format="0" series="1">
      <pivotArea type="data" outline="0" fieldPosition="0">
        <references count="1">
          <reference field="4294967294" count="1" selected="0">
            <x v="0"/>
          </reference>
        </references>
      </pivotArea>
    </chartFormat>
    <chartFormat chart="9" format="19"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AC1D641-90BD-489C-976A-ACB188171769}" name="PivotTable21" cacheId="625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F3:F4" firstHeaderRow="1" firstDataRow="1" firstDataCol="0" rowPageCount="1" colPageCount="1"/>
  <pivotFields count="3">
    <pivotField dataField="1" subtotalTop="0" showAll="0" defaultSubtotal="0"/>
    <pivotField axis="axisPage" allDrilled="1" subtotalTop="0" showAll="0" dataSourceSort="1" defaultSubtotal="0" defaultAttributeDrillState="1">
      <items count="1">
        <item s="1" x="0"/>
      </items>
    </pivotField>
    <pivotField allDrilled="1" subtotalTop="0" showAll="0" dataSourceSort="1" defaultSubtotal="0" defaultAttributeDrillState="1"/>
  </pivotFields>
  <rowItems count="1">
    <i/>
  </rowItems>
  <colItems count="1">
    <i/>
  </colItems>
  <pageFields count="1">
    <pageField fld="1" hier="15" name="[Rates].[Energy Type].&amp;[Gas]" cap="Gas"/>
  </pageFields>
  <dataFields count="1">
    <dataField name="Sum of Price"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E3C63952-28F2-4D91-8703-B6481E9817A9}" name="PivotTable30" cacheId="626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8">
  <location ref="G21:H26" firstHeaderRow="1" firstDataRow="1" firstDataCol="1" rowPageCount="1" colPageCount="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v="3"/>
    </i>
    <i>
      <x/>
    </i>
    <i>
      <x v="2"/>
    </i>
    <i>
      <x v="1"/>
    </i>
    <i>
      <x v="4"/>
    </i>
  </rowItems>
  <colItems count="1">
    <i/>
  </colItems>
  <pageFields count="1">
    <pageField fld="2" hier="15" name="[Rates].[Energy Type].&amp;[Gas]" cap="Gas"/>
  </pageFields>
  <dataFields count="1">
    <dataField name="Sum of Consumption" fld="1" baseField="0" baseItem="0"/>
  </dataFields>
  <chartFormats count="4">
    <chartFormat chart="1"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2B5FC6C9-CEAA-4CBA-8230-41F304695FAE}" name="PivotTable18" cacheId="63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3:L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Rates].[Energy Type].&amp;[Electricity]" cap="Electricity"/>
  </pageFields>
  <dataFields count="1">
    <dataField name="Average of Price" fld="1" subtotal="average"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0A79C80F-EBD0-4804-BAC4-BF9A14926801}" name="PivotTable15" cacheId="63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Rates].[Energy Type].&amp;[Electricity]" cap="Electricity"/>
  </pageFields>
  <dataFields count="1">
    <dataField name="Sum of Consumption"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5E358170-B5E8-44F4-8BA5-B2D8E917FA43}" name="PivotTable24" cacheId="639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D17:E22" firstHeaderRow="1" firstDataRow="1" firstDataCol="1" rowPageCount="1" colPageCount="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v="2"/>
    </i>
    <i>
      <x v="4"/>
    </i>
    <i>
      <x v="1"/>
    </i>
    <i>
      <x/>
    </i>
    <i>
      <x v="3"/>
    </i>
  </rowItems>
  <colItems count="1">
    <i/>
  </colItems>
  <pageFields count="1">
    <pageField fld="1" hier="15" name="[Rates].[Energy Type].&amp;[Electricity]" cap="Electricity"/>
  </pageFields>
  <dataFields count="1">
    <dataField name="Sum of Price" fld="2" baseField="0" baseItem="0"/>
  </dataFields>
  <chartFormats count="2">
    <chartFormat chart="0" format="0" series="1">
      <pivotArea type="data" outline="0" fieldPosition="0">
        <references count="1">
          <reference field="4294967294" count="1" selected="0">
            <x v="0"/>
          </reference>
        </references>
      </pivotArea>
    </chartFormat>
    <chartFormat chart="7" format="2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76EAA99C-8E1E-49B2-89AA-CB08E8797C08}" name="month cons" cacheId="589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H8:I20"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1" hier="15" name="[Rates].[Energy Type].&amp;[Electricity]" cap="Electricity"/>
  </pageFields>
  <dataFields count="1">
    <dataField name="Sum of Consumption" fld="2" baseField="0" baseItem="0"/>
  </dataFields>
  <chartFormats count="2">
    <chartFormat chart="2" format="0" series="1">
      <pivotArea type="data" outline="0" fieldPosition="0">
        <references count="1">
          <reference field="4294967294" count="1" selected="0">
            <x v="0"/>
          </reference>
        </references>
      </pivotArea>
    </chartFormat>
    <chartFormat chart="10" format="41"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54FEA16D-6472-4291-B057-277480598953}" name="PivotTable25" cacheId="639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A27:B32" firstHeaderRow="1" firstDataRow="1" firstDataCol="1" rowPageCount="1" colPageCount="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v="2"/>
    </i>
    <i>
      <x/>
    </i>
    <i>
      <x v="3"/>
    </i>
    <i>
      <x v="4"/>
    </i>
    <i>
      <x v="1"/>
    </i>
  </rowItems>
  <colItems count="1">
    <i/>
  </colItems>
  <pageFields count="1">
    <pageField fld="1" hier="15" name="[Rates].[Energy Type].&amp;[Electricity]" cap="Electricity"/>
  </pageFields>
  <dataFields count="1">
    <dataField name="Sum of Consumption" fld="2" baseField="0" baseItem="0"/>
  </dataFields>
  <chartFormats count="2">
    <chartFormat chart="1" format="0" series="1">
      <pivotArea type="data" outline="0" fieldPosition="0">
        <references count="1">
          <reference field="4294967294" count="1" selected="0">
            <x v="0"/>
          </reference>
        </references>
      </pivotArea>
    </chartFormat>
    <chartFormat chart="9" format="23"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1C53B7E9-DE83-4C09-BD82-1337EDCB5871}" name="PivotTable27" cacheId="639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D27:E32" firstHeaderRow="1" firstDataRow="1" firstDataCol="1" rowPageCount="1" colPageCount="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v="2"/>
    </i>
    <i>
      <x/>
    </i>
    <i>
      <x v="3"/>
    </i>
    <i>
      <x v="4"/>
    </i>
    <i>
      <x v="1"/>
    </i>
  </rowItems>
  <colItems count="1">
    <i/>
  </colItems>
  <pageFields count="1">
    <pageField fld="1" hier="15" name="[Rates].[Energy Type].&amp;[Electricity]" cap="Electricity"/>
  </pageFields>
  <dataFields count="1">
    <dataField name="Sum of Price" fld="2" baseField="0" baseItem="0"/>
  </dataFields>
  <chartFormats count="2">
    <chartFormat chart="1" format="0" series="1">
      <pivotArea type="data" outline="0" fieldPosition="0">
        <references count="1">
          <reference field="4294967294" count="1" selected="0">
            <x v="0"/>
          </reference>
        </references>
      </pivotArea>
    </chartFormat>
    <chartFormat chart="9" format="2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955D31A7-8D33-4DD2-8CB4-4E3033D8C0D3}" name="PivotTable23" cacheId="639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17:B22" firstHeaderRow="1" firstDataRow="1" firstDataCol="1" rowPageCount="1" colPageCount="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4"/>
    </i>
    <i>
      <x v="1"/>
    </i>
    <i>
      <x/>
    </i>
    <i>
      <x v="3"/>
    </i>
  </rowItems>
  <colItems count="1">
    <i/>
  </colItems>
  <pageFields count="1">
    <pageField fld="2" hier="15" name="[Rates].[Energy Type].&amp;[Electricity]" cap="Electricity"/>
  </pageFields>
  <dataFields count="1">
    <dataField name="Sum of Consumption" fld="1" baseField="0" baseItem="0"/>
  </dataFields>
  <chartFormats count="2">
    <chartFormat chart="0" format="0" series="1">
      <pivotArea type="data" outline="0" fieldPosition="0">
        <references count="1">
          <reference field="4294967294" count="1" selected="0">
            <x v="0"/>
          </reference>
        </references>
      </pivotArea>
    </chartFormat>
    <chartFormat chart="7" format="2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D33B0BC7-6748-4BDC-8581-538348F3CC64}" name="PivotTable14" cacheId="63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7" name="[Energy Consumptions].[Attribute].&amp;[Electricity]" cap="Electricity"/>
  </pageFields>
  <dataFields count="1">
    <dataField name="Distinct Count of Building"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uild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284A0448-8DE8-44AE-8560-CCDF869F6AD7}" name="year cost" cacheId="640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location ref="D8:E12"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Items count="1">
    <i/>
  </colItems>
  <pageFields count="1">
    <pageField fld="0" hier="15" name="[Rates].[Energy Type].&amp;[Electricity]" cap="Electricity"/>
  </pageFields>
  <dataFields count="1">
    <dataField name="Sum of Price" fld="2" baseField="0" baseItem="0"/>
  </dataFields>
  <chartFormats count="6">
    <chartFormat chart="1" format="0" series="1">
      <pivotArea type="data" outline="0" fieldPosition="0">
        <references count="1">
          <reference field="4294967294" count="1" selected="0">
            <x v="0"/>
          </reference>
        </references>
      </pivotArea>
    </chartFormat>
    <chartFormat chart="12" format="123" series="1">
      <pivotArea type="data" outline="0" fieldPosition="0">
        <references count="1">
          <reference field="4294967294" count="1" selected="0">
            <x v="0"/>
          </reference>
        </references>
      </pivotArea>
    </chartFormat>
    <chartFormat chart="12" format="124">
      <pivotArea type="data" outline="0" fieldPosition="0">
        <references count="2">
          <reference field="4294967294" count="1" selected="0">
            <x v="0"/>
          </reference>
          <reference field="1" count="1" selected="0">
            <x v="0"/>
          </reference>
        </references>
      </pivotArea>
    </chartFormat>
    <chartFormat chart="12" format="125">
      <pivotArea type="data" outline="0" fieldPosition="0">
        <references count="2">
          <reference field="4294967294" count="1" selected="0">
            <x v="0"/>
          </reference>
          <reference field="1" count="1" selected="0">
            <x v="1"/>
          </reference>
        </references>
      </pivotArea>
    </chartFormat>
    <chartFormat chart="12" format="126">
      <pivotArea type="data" outline="0" fieldPosition="0">
        <references count="2">
          <reference field="4294967294" count="1" selected="0">
            <x v="0"/>
          </reference>
          <reference field="1" count="1" selected="0">
            <x v="2"/>
          </reference>
        </references>
      </pivotArea>
    </chartFormat>
    <chartFormat chart="12" format="127">
      <pivotArea type="data" outline="0" fieldPosition="0">
        <references count="2">
          <reference field="4294967294" count="1" selected="0">
            <x v="0"/>
          </reference>
          <reference field="1"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4BC5CC2E-8928-49DD-94CB-6DEBF3188490}" name="year cons" cacheId="637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8:B12" firstHeaderRow="1" firstDataRow="1" firstDataCol="1" rowPageCount="1" colPageCount="1"/>
  <pivotFields count="4">
    <pivotField axis="axisRow" allDrilled="1" subtotalTop="0" showAll="0" dataSourceSort="1" defaultSubtotal="0">
      <items count="4">
        <item x="0" e="0"/>
        <item x="1" e="0"/>
        <item x="2" e="0"/>
        <item x="3" e="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pageFields count="1">
    <pageField fld="2" hier="15" name="[Rates].[Energy Type].&amp;[Electricity]" cap="Electricity"/>
  </pageFields>
  <dataFields count="1">
    <dataField name="Sum of Consumption" fld="1" baseField="0" baseItem="0"/>
  </dataFields>
  <chartFormats count="6">
    <chartFormat chart="1" format="0" series="1">
      <pivotArea type="data" outline="0" fieldPosition="0">
        <references count="1">
          <reference field="4294967294" count="1" selected="0">
            <x v="0"/>
          </reference>
        </references>
      </pivotArea>
    </chartFormat>
    <chartFormat chart="8" format="138" series="1">
      <pivotArea type="data" outline="0" fieldPosition="0">
        <references count="1">
          <reference field="4294967294" count="1" selected="0">
            <x v="0"/>
          </reference>
        </references>
      </pivotArea>
    </chartFormat>
    <chartFormat chart="8" format="139">
      <pivotArea type="data" outline="0" fieldPosition="0">
        <references count="2">
          <reference field="4294967294" count="1" selected="0">
            <x v="0"/>
          </reference>
          <reference field="0" count="1" selected="0">
            <x v="0"/>
          </reference>
        </references>
      </pivotArea>
    </chartFormat>
    <chartFormat chart="8" format="140">
      <pivotArea type="data" outline="0" fieldPosition="0">
        <references count="2">
          <reference field="4294967294" count="1" selected="0">
            <x v="0"/>
          </reference>
          <reference field="0" count="1" selected="0">
            <x v="1"/>
          </reference>
        </references>
      </pivotArea>
    </chartFormat>
    <chartFormat chart="8" format="141">
      <pivotArea type="data" outline="0" fieldPosition="0">
        <references count="2">
          <reference field="4294967294" count="1" selected="0">
            <x v="0"/>
          </reference>
          <reference field="0" count="1" selected="0">
            <x v="2"/>
          </reference>
        </references>
      </pivotArea>
    </chartFormat>
    <chartFormat chart="8" format="142">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89E2A3BA-E211-45DC-B425-07BEFC5E98A4}" name="PivotTable16" cacheId="63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Rates].[Energy Type].&amp;[Electricity]" cap="Electricity"/>
  </pageFields>
  <dataFields count="1">
    <dataField name="Sum of Price"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B2DDE2A5-FD58-436C-8FFB-2043DE7AC0D7}" name="PivotTable17" cacheId="63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I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Rates].[Energy Type].&amp;[Electricity]" cap="Electricity"/>
  </pageFields>
  <dataFields count="1">
    <dataField name="Average of Consumption" fld="1" subtotal="average"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onsump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5BBBC2BE-9197-4FE2-BF07-73EB1E3F4177}" name="month cost" cacheId="590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L8:M20"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pageFields count="1">
    <pageField fld="0" hier="15" name="[Rates].[Energy Type].&amp;[Electricity]" cap="Electricity"/>
  </pageFields>
  <dataFields count="1">
    <dataField name="Sum of Price" fld="1" baseField="0" baseItem="0"/>
  </dataFields>
  <chartFormats count="2">
    <chartFormat chart="1" format="0" series="1">
      <pivotArea type="data" outline="0" fieldPosition="0">
        <references count="1">
          <reference field="4294967294" count="1" selected="0">
            <x v="0"/>
          </reference>
        </references>
      </pivotArea>
    </chartFormat>
    <chartFormat chart="9" format="4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3" xr10:uid="{7F8AAD0C-85D1-4876-B890-A9B00E7ADF75}" sourceName="[Energy Consumptions].[Date (Year)]">
  <pivotTables>
    <pivotTable tabId="13" name="PivotTable14"/>
    <pivotTable tabId="13" name="PivotTable15"/>
    <pivotTable tabId="13" name="PivotTable16"/>
    <pivotTable tabId="13" name="PivotTable17"/>
    <pivotTable tabId="13" name="PivotTable18"/>
    <pivotTable tabId="13" name="month cons"/>
    <pivotTable tabId="13" name="month cost"/>
    <pivotTable tabId="13" name="PivotTable23"/>
    <pivotTable tabId="13" name="PivotTable24"/>
    <pivotTable tabId="13" name="PivotTable25"/>
    <pivotTable tabId="13" name="PivotTable27"/>
  </pivotTables>
  <data>
    <olap pivotCacheId="1308279684">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ll]"/>
      </selections>
    </olap>
  </data>
  <extLst>
    <x:ext xmlns:x15="http://schemas.microsoft.com/office/spreadsheetml/2010/11/main" uri="{470722E0-AACD-4C17-9CDC-17EF765DBC7E}">
      <x15:slicerCacheHideItemsWithNoData count="1">
        <x15:slicerCacheOlapLevelName uniqueName="[Energy Consumptions].[Date (Year)].[Date (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7D05829-3A93-4A20-8CA3-3E568AF2687F}" sourceName="[Energy Consumptions].[Date (Year)]">
  <pivotTables>
    <pivotTable tabId="6" name="AVG CONS"/>
    <pivotTable tabId="6" name="AvG PRICE"/>
    <pivotTable tabId="6" name="buildings cons"/>
    <pivotTable tabId="6" name="buildings price"/>
    <pivotTable tabId="6" name="cities cons"/>
    <pivotTable tabId="6" name="cities price"/>
    <pivotTable tabId="6" name="MONTH CONS"/>
    <pivotTable tabId="6" name="MONTH PRICE"/>
    <pivotTable tabId="6" name="TOTAL BUILDINGS"/>
    <pivotTable tabId="6" name="TOTAL CONS"/>
    <pivotTable tabId="6" name="TOTAL PRICE"/>
    <pivotTable tabId="6" name="attribute cons"/>
    <pivotTable tabId="6" name="attribute price"/>
  </pivotTables>
  <data>
    <olap pivotCacheId="942726811">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ll]"/>
      </selections>
    </olap>
  </data>
  <extLst>
    <x:ext xmlns:x15="http://schemas.microsoft.com/office/spreadsheetml/2010/11/main" uri="{470722E0-AACD-4C17-9CDC-17EF765DBC7E}">
      <x15:slicerCacheHideItemsWithNoData count="1">
        <x15:slicerCacheOlapLevelName uniqueName="[Energy Consumptions].[Date (Year)].[Date (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9726E7E-A848-48EE-8B06-A7C06456AF86}" sourceName="[Energy Consumptions].[Date (Month)]">
  <pivotTables>
    <pivotTable tabId="6" name="attribute cons"/>
    <pivotTable tabId="6" name="attribute price"/>
    <pivotTable tabId="6" name="AVG CONS"/>
    <pivotTable tabId="6" name="AvG PRICE"/>
    <pivotTable tabId="6" name="buildings cons"/>
    <pivotTable tabId="6" name="buildings price"/>
    <pivotTable tabId="6" name="cities cons"/>
    <pivotTable tabId="6" name="cities price"/>
    <pivotTable tabId="6" name="TOTAL BUILDINGS"/>
    <pivotTable tabId="6" name="TOTAL CONS"/>
    <pivotTable tabId="6" name="TOTAL PRICE"/>
  </pivotTables>
  <data>
    <olap pivotCacheId="942726811">
      <levels count="2">
        <level uniqueName="[Energy Consumptions].[Date (Month)].[(All)]" sourceCaption="(All)" count="0"/>
        <level uniqueName="[Energy Consumptions].[Date (Month)].[Date (Month)]" sourceCaption="Date (Month)" count="12">
          <ranges>
            <range startItem="0">
              <i n="[Energy Consumptions].[Date (Month)].&amp;[Jan]" c="Jan"/>
              <i n="[Energy Consumptions].[Date (Month)].&amp;[Feb]" c="Feb"/>
              <i n="[Energy Consumptions].[Date (Month)].&amp;[Mar]" c="Mar"/>
              <i n="[Energy Consumptions].[Date (Month)].&amp;[Apr]" c="Apr"/>
              <i n="[Energy Consumptions].[Date (Month)].&amp;[May]" c="May"/>
              <i n="[Energy Consumptions].[Date (Month)].&amp;[Jun]" c="Jun"/>
              <i n="[Energy Consumptions].[Date (Month)].&amp;[Jul]" c="Jul"/>
              <i n="[Energy Consumptions].[Date (Month)].&amp;[Aug]" c="Aug"/>
              <i n="[Energy Consumptions].[Date (Month)].&amp;[Sep]" c="Sep"/>
              <i n="[Energy Consumptions].[Date (Month)].&amp;[Oct]" c="Oct"/>
              <i n="[Energy Consumptions].[Date (Month)].&amp;[Nov]" c="Nov"/>
              <i n="[Energy Consumptions].[Date (Month)].&amp;[Dec]" c="Dec"/>
            </range>
          </ranges>
        </level>
      </levels>
      <selections count="1">
        <selection n="[Energy Consumptions].[Date (Month)].[All]"/>
      </selections>
    </olap>
  </data>
  <extLst>
    <x:ext xmlns:x15="http://schemas.microsoft.com/office/spreadsheetml/2010/11/main" uri="{470722E0-AACD-4C17-9CDC-17EF765DBC7E}">
      <x15:slicerCacheHideItemsWithNoData count="1">
        <x15:slicerCacheOlapLevelName uniqueName="[Energy Consumptions].[Date (Month)].[Date (Month)]"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1" xr10:uid="{C3A7676C-EC8A-4D43-A9F2-B76E04469843}" sourceName="[Energy Consumptions].[Date (Year)]">
  <pivotTables>
    <pivotTable tabId="12" name="month cons"/>
    <pivotTable tabId="12" name="month price"/>
    <pivotTable tabId="12" name="PivotTable10"/>
    <pivotTable tabId="12" name="PivotTable11"/>
    <pivotTable tabId="12" name="PivotTable12"/>
    <pivotTable tabId="12" name="PivotTable13"/>
    <pivotTable tabId="12" name="PivotTable2"/>
    <pivotTable tabId="12" name="PivotTable3"/>
    <pivotTable tabId="12" name="PivotTable4"/>
    <pivotTable tabId="12" name="PivotTable5"/>
  </pivotTables>
  <data>
    <olap pivotCacheId="942726811">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ll]"/>
      </selections>
    </olap>
  </data>
  <extLst>
    <x:ext xmlns:x15="http://schemas.microsoft.com/office/spreadsheetml/2010/11/main" uri="{470722E0-AACD-4C17-9CDC-17EF765DBC7E}">
      <x15:slicerCacheHideItemsWithNoData count="1">
        <x15:slicerCacheOlapLevelName uniqueName="[Energy Consumptions].[Date (Year)].[Date (Year)]"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1" xr10:uid="{1F65AA4B-6BA3-4A63-A476-639AB89BD6B4}" sourceName="[Energy Consumptions].[Date (Month)]">
  <pivotTables>
    <pivotTable tabId="12" name="year cons"/>
    <pivotTable tabId="12" name="Buildings"/>
    <pivotTable tabId="12" name="PivotTable10"/>
    <pivotTable tabId="12" name="PivotTable11"/>
    <pivotTable tabId="12" name="PivotTable12"/>
    <pivotTable tabId="12" name="PivotTable13"/>
    <pivotTable tabId="12" name="PivotTable2"/>
    <pivotTable tabId="12" name="PivotTable3"/>
    <pivotTable tabId="12" name="PivotTable4"/>
    <pivotTable tabId="12" name="PivotTable5"/>
    <pivotTable tabId="12" name="year price"/>
  </pivotTables>
  <data>
    <olap pivotCacheId="942726811">
      <levels count="2">
        <level uniqueName="[Energy Consumptions].[Date (Month)].[(All)]" sourceCaption="(All)" count="0"/>
        <level uniqueName="[Energy Consumptions].[Date (Month)].[Date (Month)]" sourceCaption="Date (Month)" count="12">
          <ranges>
            <range startItem="0">
              <i n="[Energy Consumptions].[Date (Month)].&amp;[Jan]" c="Jan"/>
              <i n="[Energy Consumptions].[Date (Month)].&amp;[Feb]" c="Feb"/>
              <i n="[Energy Consumptions].[Date (Month)].&amp;[Mar]" c="Mar"/>
              <i n="[Energy Consumptions].[Date (Month)].&amp;[Apr]" c="Apr"/>
              <i n="[Energy Consumptions].[Date (Month)].&amp;[May]" c="May"/>
              <i n="[Energy Consumptions].[Date (Month)].&amp;[Jun]" c="Jun"/>
              <i n="[Energy Consumptions].[Date (Month)].&amp;[Jul]" c="Jul"/>
              <i n="[Energy Consumptions].[Date (Month)].&amp;[Aug]" c="Aug"/>
              <i n="[Energy Consumptions].[Date (Month)].&amp;[Sep]" c="Sep"/>
              <i n="[Energy Consumptions].[Date (Month)].&amp;[Oct]" c="Oct"/>
              <i n="[Energy Consumptions].[Date (Month)].&amp;[Nov]" c="Nov"/>
              <i n="[Energy Consumptions].[Date (Month)].&amp;[Dec]" c="Dec"/>
            </range>
          </ranges>
        </level>
      </levels>
      <selections count="1">
        <selection n="[Energy Consumptions].[Date (Month)].[All]"/>
      </selections>
    </olap>
  </data>
  <extLst>
    <x:ext xmlns:x15="http://schemas.microsoft.com/office/spreadsheetml/2010/11/main" uri="{470722E0-AACD-4C17-9CDC-17EF765DBC7E}">
      <x15:slicerCacheHideItemsWithNoData count="1">
        <x15:slicerCacheOlapLevelName uniqueName="[Energy Consumptions].[Date (Month)].[Date (Month)]"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2" xr10:uid="{30CE6464-BE7E-4954-BA59-CF30316CE2DF}" sourceName="[Energy Consumptions].[Date (Month)]">
  <pivotTables>
    <pivotTable tabId="10" name="year cons"/>
    <pivotTable tabId="10" name="PivotTable19"/>
    <pivotTable tabId="10" name="PivotTable20"/>
    <pivotTable tabId="10" name="PivotTable21"/>
    <pivotTable tabId="10" name="PivotTable22"/>
    <pivotTable tabId="10" name="PivotTable23"/>
    <pivotTable tabId="10" name="PivotTable28"/>
    <pivotTable tabId="10" name="PivotTable29"/>
    <pivotTable tabId="10" name="PivotTable30"/>
    <pivotTable tabId="10" name="PivotTable31"/>
    <pivotTable tabId="10" name="year cost"/>
  </pivotTables>
  <data>
    <olap pivotCacheId="942726811">
      <levels count="2">
        <level uniqueName="[Energy Consumptions].[Date (Month)].[(All)]" sourceCaption="(All)" count="0"/>
        <level uniqueName="[Energy Consumptions].[Date (Month)].[Date (Month)]" sourceCaption="Date (Month)" count="12">
          <ranges>
            <range startItem="0">
              <i n="[Energy Consumptions].[Date (Month)].&amp;[Jan]" c="Jan"/>
              <i n="[Energy Consumptions].[Date (Month)].&amp;[Feb]" c="Feb"/>
              <i n="[Energy Consumptions].[Date (Month)].&amp;[Mar]" c="Mar"/>
              <i n="[Energy Consumptions].[Date (Month)].&amp;[Apr]" c="Apr"/>
              <i n="[Energy Consumptions].[Date (Month)].&amp;[May]" c="May"/>
              <i n="[Energy Consumptions].[Date (Month)].&amp;[Jun]" c="Jun"/>
              <i n="[Energy Consumptions].[Date (Month)].&amp;[Jul]" c="Jul"/>
              <i n="[Energy Consumptions].[Date (Month)].&amp;[Aug]" c="Aug"/>
              <i n="[Energy Consumptions].[Date (Month)].&amp;[Sep]" c="Sep"/>
              <i n="[Energy Consumptions].[Date (Month)].&amp;[Oct]" c="Oct"/>
              <i n="[Energy Consumptions].[Date (Month)].&amp;[Nov]" c="Nov"/>
              <i n="[Energy Consumptions].[Date (Month)].&amp;[Dec]" c="Dec"/>
            </range>
          </ranges>
        </level>
      </levels>
      <selections count="1">
        <selection n="[Energy Consumptions].[Date (Month)].[All]"/>
      </selections>
    </olap>
  </data>
  <extLst>
    <x:ext xmlns:x15="http://schemas.microsoft.com/office/spreadsheetml/2010/11/main" uri="{470722E0-AACD-4C17-9CDC-17EF765DBC7E}">
      <x15:slicerCacheHideItemsWithNoData count="1">
        <x15:slicerCacheOlapLevelName uniqueName="[Energy Consumptions].[Date (Month)].[Date (Month)]"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2" xr10:uid="{B7784A0E-B9DD-45CB-B098-FD90841BCCB1}" sourceName="[Energy Consumptions].[Date (Year)]">
  <pivotTables>
    <pivotTable tabId="10" name="month cons"/>
    <pivotTable tabId="10" name="month cost"/>
    <pivotTable tabId="10" name="PivotTable19"/>
    <pivotTable tabId="10" name="PivotTable20"/>
    <pivotTable tabId="10" name="PivotTable21"/>
    <pivotTable tabId="10" name="PivotTable22"/>
    <pivotTable tabId="10" name="PivotTable23"/>
    <pivotTable tabId="10" name="PivotTable28"/>
    <pivotTable tabId="10" name="PivotTable29"/>
    <pivotTable tabId="10" name="PivotTable30"/>
    <pivotTable tabId="10" name="PivotTable31"/>
  </pivotTables>
  <data>
    <olap pivotCacheId="942726811">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ll]"/>
      </selections>
    </olap>
  </data>
  <extLst>
    <x:ext xmlns:x15="http://schemas.microsoft.com/office/spreadsheetml/2010/11/main" uri="{470722E0-AACD-4C17-9CDC-17EF765DBC7E}">
      <x15:slicerCacheHideItemsWithNoData count="1">
        <x15:slicerCacheOlapLevelName uniqueName="[Energy Consumptions].[Date (Year)].[Date (Year)]" count="0"/>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3" xr10:uid="{B53806A1-3876-4F2A-A9B7-DBED93D558A2}" sourceName="[Energy Consumptions].[Date (Month)]">
  <pivotTables>
    <pivotTable tabId="13" name="year cons"/>
    <pivotTable tabId="13" name="PivotTable14"/>
    <pivotTable tabId="13" name="PivotTable15"/>
    <pivotTable tabId="13" name="PivotTable16"/>
    <pivotTable tabId="13" name="PivotTable17"/>
    <pivotTable tabId="13" name="PivotTable18"/>
    <pivotTable tabId="13" name="PivotTable23"/>
    <pivotTable tabId="13" name="PivotTable24"/>
    <pivotTable tabId="13" name="PivotTable25"/>
    <pivotTable tabId="13" name="PivotTable27"/>
    <pivotTable tabId="13" name="year cost"/>
  </pivotTables>
  <data>
    <olap pivotCacheId="942726811">
      <levels count="2">
        <level uniqueName="[Energy Consumptions].[Date (Month)].[(All)]" sourceCaption="(All)" count="0"/>
        <level uniqueName="[Energy Consumptions].[Date (Month)].[Date (Month)]" sourceCaption="Date (Month)" count="12">
          <ranges>
            <range startItem="0">
              <i n="[Energy Consumptions].[Date (Month)].&amp;[Jan]" c="Jan"/>
              <i n="[Energy Consumptions].[Date (Month)].&amp;[Feb]" c="Feb"/>
              <i n="[Energy Consumptions].[Date (Month)].&amp;[Mar]" c="Mar"/>
              <i n="[Energy Consumptions].[Date (Month)].&amp;[Apr]" c="Apr"/>
              <i n="[Energy Consumptions].[Date (Month)].&amp;[May]" c="May"/>
              <i n="[Energy Consumptions].[Date (Month)].&amp;[Jun]" c="Jun"/>
              <i n="[Energy Consumptions].[Date (Month)].&amp;[Jul]" c="Jul"/>
              <i n="[Energy Consumptions].[Date (Month)].&amp;[Aug]" c="Aug"/>
              <i n="[Energy Consumptions].[Date (Month)].&amp;[Sep]" c="Sep"/>
              <i n="[Energy Consumptions].[Date (Month)].&amp;[Oct]" c="Oct"/>
              <i n="[Energy Consumptions].[Date (Month)].&amp;[Nov]" c="Nov"/>
              <i n="[Energy Consumptions].[Date (Month)].&amp;[Dec]" c="Dec"/>
            </range>
          </ranges>
        </level>
      </levels>
      <selections count="1">
        <selection n="[Energy Consumptions].[Date (Month)].[All]"/>
      </selections>
    </olap>
  </data>
  <extLst>
    <x:ext xmlns:x15="http://schemas.microsoft.com/office/spreadsheetml/2010/11/main" uri="{470722E0-AACD-4C17-9CDC-17EF765DBC7E}">
      <x15:slicerCacheHideItemsWithNoData count="1">
        <x15:slicerCacheOlapLevelName uniqueName="[Energy Consumptions].[Date (Month)].[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E1489B67-EFA5-4B44-9105-09F775DFB021}" cache="Slicer_Date__Year" caption="Date (Year)" columnCount="2" showCaption="0" level="1" style="Slicer Style 1" rowHeight="365760"/>
  <slicer name="Date (Month)" xr10:uid="{118507E3-0912-4FAD-93F3-4BC1B84F563A}" cache="Slicer_Date__Month" caption="Date (Month)" columnCount="4" showCaption="0" level="1" style="Slicer Style 1" rowHeight="2468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5" xr10:uid="{80498AE7-A9BA-4F24-9586-E9E392B6580E}" cache="Slicer_Date__Year3" caption="Date (Year)" columnCount="2" showCaption="0" level="1" style="Slicer Style 3" rowHeight="365760"/>
  <slicer name="Date (Month) 4" xr10:uid="{E211837E-89F4-4022-A78E-DF3D24DC422A}" cache="Slicer_Date__Month3" caption="Date (Month)" columnCount="4" showCaption="0" level="1" style="Slicer Style 3" rowHeight="24688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AEAA7881-3A29-4568-8325-B6F2351FCE28}" cache="Slicer_Date__Year1" caption="Date (Year)" columnCount="2" showCaption="0" level="1" style="Slicer Style 2" rowHeight="365760"/>
  <slicer name="Date (Month) 3" xr10:uid="{299AB03A-E1FC-48B1-93B4-7F8E37772379}" cache="Slicer_Date__Month1" caption="Date (Month)" columnCount="4" showCaption="0" level="1" style="Slicer Style 2" rowHeight="24688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7731544-E915-407F-8CA3-AADC9BFE0153}" cache="Slicer_Date__Month2" caption="Date (Month)" columnCount="4" showCaption="0" level="1" style="Slicer Style 4" rowHeight="246888"/>
  <slicer name="Date (Year) 3" xr10:uid="{F84B3E8D-0D18-4622-82AF-CD17BFFFF0A0}" cache="Slicer_Date__Year2" caption="Date (Year)" columnCount="2" showCaption="0" level="1" style="Slicer Style 4"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34.xml"/><Relationship Id="rId13" Type="http://schemas.openxmlformats.org/officeDocument/2006/relationships/pivotTable" Target="../pivotTables/pivotTable39.xml"/><Relationship Id="rId3" Type="http://schemas.openxmlformats.org/officeDocument/2006/relationships/pivotTable" Target="../pivotTables/pivotTable29.xml"/><Relationship Id="rId7" Type="http://schemas.openxmlformats.org/officeDocument/2006/relationships/pivotTable" Target="../pivotTables/pivotTable33.xml"/><Relationship Id="rId12" Type="http://schemas.openxmlformats.org/officeDocument/2006/relationships/pivotTable" Target="../pivotTables/pivotTable38.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pivotTable" Target="../pivotTables/pivotTable32.xml"/><Relationship Id="rId11" Type="http://schemas.openxmlformats.org/officeDocument/2006/relationships/pivotTable" Target="../pivotTables/pivotTable37.xml"/><Relationship Id="rId5" Type="http://schemas.openxmlformats.org/officeDocument/2006/relationships/pivotTable" Target="../pivotTables/pivotTable31.xml"/><Relationship Id="rId10" Type="http://schemas.openxmlformats.org/officeDocument/2006/relationships/pivotTable" Target="../pivotTables/pivotTable36.xml"/><Relationship Id="rId4" Type="http://schemas.openxmlformats.org/officeDocument/2006/relationships/pivotTable" Target="../pivotTables/pivotTable30.xml"/><Relationship Id="rId9" Type="http://schemas.openxmlformats.org/officeDocument/2006/relationships/pivotTable" Target="../pivotTables/pivotTable3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47.xml"/><Relationship Id="rId13" Type="http://schemas.openxmlformats.org/officeDocument/2006/relationships/pivotTable" Target="../pivotTables/pivotTable52.xml"/><Relationship Id="rId3" Type="http://schemas.openxmlformats.org/officeDocument/2006/relationships/pivotTable" Target="../pivotTables/pivotTable42.xml"/><Relationship Id="rId7" Type="http://schemas.openxmlformats.org/officeDocument/2006/relationships/pivotTable" Target="../pivotTables/pivotTable46.xml"/><Relationship Id="rId12" Type="http://schemas.openxmlformats.org/officeDocument/2006/relationships/pivotTable" Target="../pivotTables/pivotTable51.xml"/><Relationship Id="rId2" Type="http://schemas.openxmlformats.org/officeDocument/2006/relationships/pivotTable" Target="../pivotTables/pivotTable41.xml"/><Relationship Id="rId1" Type="http://schemas.openxmlformats.org/officeDocument/2006/relationships/pivotTable" Target="../pivotTables/pivotTable40.xml"/><Relationship Id="rId6" Type="http://schemas.openxmlformats.org/officeDocument/2006/relationships/pivotTable" Target="../pivotTables/pivotTable45.xml"/><Relationship Id="rId11" Type="http://schemas.openxmlformats.org/officeDocument/2006/relationships/pivotTable" Target="../pivotTables/pivotTable50.xml"/><Relationship Id="rId5" Type="http://schemas.openxmlformats.org/officeDocument/2006/relationships/pivotTable" Target="../pivotTables/pivotTable44.xml"/><Relationship Id="rId10" Type="http://schemas.openxmlformats.org/officeDocument/2006/relationships/pivotTable" Target="../pivotTables/pivotTable49.xml"/><Relationship Id="rId4" Type="http://schemas.openxmlformats.org/officeDocument/2006/relationships/pivotTable" Target="../pivotTables/pivotTable43.xml"/><Relationship Id="rId9" Type="http://schemas.openxmlformats.org/officeDocument/2006/relationships/pivotTable" Target="../pivotTables/pivotTable48.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35287-E3B2-47EB-AA11-6D0D3C188EA6}">
  <dimension ref="A2:L30"/>
  <sheetViews>
    <sheetView workbookViewId="0">
      <selection activeCell="D32" sqref="D32"/>
    </sheetView>
  </sheetViews>
  <sheetFormatPr defaultColWidth="13.140625" defaultRowHeight="15" x14ac:dyDescent="0.25"/>
  <cols>
    <col min="1" max="1" width="24.5703125" bestFit="1" customWidth="1"/>
    <col min="2" max="2" width="12.7109375" bestFit="1" customWidth="1"/>
    <col min="3" max="3" width="13.85546875" bestFit="1" customWidth="1"/>
    <col min="4" max="4" width="13.42578125" bestFit="1" customWidth="1"/>
    <col min="5" max="5" width="12.5703125" bestFit="1" customWidth="1"/>
    <col min="6" max="6" width="18.5703125" bestFit="1" customWidth="1"/>
    <col min="7" max="7" width="13.42578125" bestFit="1" customWidth="1"/>
    <col min="8" max="8" width="12.7109375" bestFit="1" customWidth="1"/>
    <col min="9" max="9" width="23.5703125" bestFit="1" customWidth="1"/>
    <col min="10" max="10" width="13.42578125" bestFit="1" customWidth="1"/>
    <col min="11" max="11" width="20.28515625" bestFit="1" customWidth="1"/>
  </cols>
  <sheetData>
    <row r="2" spans="1:11" x14ac:dyDescent="0.25">
      <c r="A2" t="s">
        <v>45</v>
      </c>
      <c r="C2" t="s">
        <v>1</v>
      </c>
      <c r="E2" t="s">
        <v>3</v>
      </c>
      <c r="G2" t="s">
        <v>8</v>
      </c>
      <c r="I2" t="s">
        <v>9</v>
      </c>
    </row>
    <row r="3" spans="1:11" x14ac:dyDescent="0.25">
      <c r="A3" s="10">
        <v>11</v>
      </c>
      <c r="B3" t="s">
        <v>34</v>
      </c>
      <c r="C3" s="1">
        <v>15842498.966499999</v>
      </c>
      <c r="E3" s="3">
        <v>210465393</v>
      </c>
      <c r="G3" s="1">
        <v>10001.577600000001</v>
      </c>
      <c r="I3" s="2">
        <v>132869.56628787878</v>
      </c>
    </row>
    <row r="4" spans="1:11" x14ac:dyDescent="0.25">
      <c r="A4">
        <f>IFERROR(GETPIVOTDATA("[Measures].[Distinct Count of Building]",$A$2),0)</f>
        <v>11</v>
      </c>
      <c r="C4" t="str">
        <f>"Total: " &amp; IFERROR(TEXT(GETPIVOTDATA("[Measures].[Sum of Price]",$C$2), "[&gt;=1000000]""$""0.00,,""M"";[&gt;=1000]""$""0.00,""K"";""$""0.00"), 0)</f>
        <v>Total: $15.84M</v>
      </c>
      <c r="E4" t="str">
        <f>"Total: " &amp; IFERROR(TEXT(GETPIVOTDATA("[Measures].[Sum of Consumption]",$E$2), "[&gt;=1000000]0.00,,""M"";[&gt;=1000]0.00,""K"";0.00"), 0)</f>
        <v>Total: 210.47M</v>
      </c>
      <c r="G4" t="str">
        <f>"Avg: " &amp; IFERROR(TEXT(GETPIVOTDATA("[Measures].[Average of Price]",$G$2),"[&gt;=1000000]""$""0.00,,""M"";[&gt;=1000]""$""0.00,""K"";""$""0.00"), 0)</f>
        <v>Avg: $10.00K</v>
      </c>
      <c r="I4" t="str">
        <f>"Avg: " &amp; IFERROR(TEXT(GETPIVOTDATA("[Measures].[Average of Consumption]",$I$2), "[&gt;=1000000]0.00,,""M"";[&gt;=1000]0.00,""K"";0.00"), 0)</f>
        <v>Avg: 132.87K</v>
      </c>
    </row>
    <row r="5" spans="1:11" x14ac:dyDescent="0.25">
      <c r="A5" s="6"/>
      <c r="B5" s="6"/>
      <c r="C5" s="6"/>
      <c r="D5" s="6"/>
      <c r="E5" s="6"/>
      <c r="F5" s="6"/>
      <c r="G5" s="6"/>
      <c r="H5" s="6"/>
      <c r="I5" s="6"/>
      <c r="J5" s="6"/>
      <c r="K5" s="6"/>
    </row>
    <row r="6" spans="1:11" x14ac:dyDescent="0.25">
      <c r="A6" s="4" t="s">
        <v>4</v>
      </c>
      <c r="B6" t="s">
        <v>0</v>
      </c>
      <c r="C6" s="6"/>
      <c r="D6" s="4" t="s">
        <v>4</v>
      </c>
      <c r="E6" t="s">
        <v>2</v>
      </c>
      <c r="F6" s="6"/>
      <c r="G6" s="4" t="s">
        <v>4</v>
      </c>
      <c r="H6" t="s">
        <v>0</v>
      </c>
    </row>
    <row r="7" spans="1:11" x14ac:dyDescent="0.25">
      <c r="A7" s="5" t="s">
        <v>13</v>
      </c>
      <c r="B7" s="1">
        <v>1461989.7930000001</v>
      </c>
      <c r="C7" s="6"/>
      <c r="D7" s="5" t="s">
        <v>19</v>
      </c>
      <c r="E7" s="3">
        <v>17922787</v>
      </c>
      <c r="F7" s="6"/>
      <c r="G7" s="5" t="s">
        <v>19</v>
      </c>
      <c r="H7" s="1">
        <v>1318430.8836999999</v>
      </c>
    </row>
    <row r="8" spans="1:11" x14ac:dyDescent="0.25">
      <c r="A8" s="5" t="s">
        <v>10</v>
      </c>
      <c r="B8" s="1">
        <v>1468356.716</v>
      </c>
      <c r="C8" s="6"/>
      <c r="D8" s="5" t="s">
        <v>20</v>
      </c>
      <c r="E8" s="3">
        <v>17945905</v>
      </c>
      <c r="F8" s="6"/>
      <c r="G8" s="5" t="s">
        <v>20</v>
      </c>
      <c r="H8" s="1">
        <v>1342784.0615999999</v>
      </c>
    </row>
    <row r="9" spans="1:11" x14ac:dyDescent="0.25">
      <c r="A9" s="5" t="s">
        <v>11</v>
      </c>
      <c r="B9" s="1">
        <v>1477667.4819</v>
      </c>
      <c r="C9" s="6"/>
      <c r="D9" s="5" t="s">
        <v>21</v>
      </c>
      <c r="E9" s="3">
        <v>17220557</v>
      </c>
      <c r="F9" s="6"/>
      <c r="G9" s="5" t="s">
        <v>21</v>
      </c>
      <c r="H9" s="1">
        <v>1291760.4117000001</v>
      </c>
    </row>
    <row r="10" spans="1:11" x14ac:dyDescent="0.25">
      <c r="A10" s="5" t="s">
        <v>15</v>
      </c>
      <c r="B10" s="1">
        <v>1479068.1111999999</v>
      </c>
      <c r="C10" s="6"/>
      <c r="D10" s="5" t="s">
        <v>22</v>
      </c>
      <c r="E10" s="3">
        <v>18440767</v>
      </c>
      <c r="F10" s="6"/>
      <c r="G10" s="5" t="s">
        <v>22</v>
      </c>
      <c r="H10" s="1">
        <v>1366221.3583</v>
      </c>
    </row>
    <row r="11" spans="1:11" x14ac:dyDescent="0.25">
      <c r="A11" s="5" t="s">
        <v>16</v>
      </c>
      <c r="B11" s="1">
        <v>1496830.0952000001</v>
      </c>
      <c r="C11" s="6"/>
      <c r="D11" s="5" t="s">
        <v>23</v>
      </c>
      <c r="E11" s="3">
        <v>17670431</v>
      </c>
      <c r="F11" s="6"/>
      <c r="G11" s="5" t="s">
        <v>23</v>
      </c>
      <c r="H11" s="1">
        <v>1324609.5225</v>
      </c>
    </row>
    <row r="12" spans="1:11" x14ac:dyDescent="0.25">
      <c r="C12" s="6"/>
      <c r="D12" s="5" t="s">
        <v>24</v>
      </c>
      <c r="E12" s="3">
        <v>17527671</v>
      </c>
      <c r="F12" s="6"/>
      <c r="G12" s="5" t="s">
        <v>24</v>
      </c>
      <c r="H12" s="1">
        <v>1324211.7781</v>
      </c>
    </row>
    <row r="13" spans="1:11" x14ac:dyDescent="0.25">
      <c r="C13" s="6"/>
      <c r="D13" s="5" t="s">
        <v>25</v>
      </c>
      <c r="E13" s="3">
        <v>17519117</v>
      </c>
      <c r="F13" s="6"/>
      <c r="G13" s="5" t="s">
        <v>25</v>
      </c>
      <c r="H13" s="1">
        <v>1335520.9013</v>
      </c>
    </row>
    <row r="14" spans="1:11" x14ac:dyDescent="0.25">
      <c r="A14" s="4" t="s">
        <v>4</v>
      </c>
      <c r="B14" t="s">
        <v>2</v>
      </c>
      <c r="C14" s="6"/>
      <c r="D14" s="5" t="s">
        <v>26</v>
      </c>
      <c r="E14" s="3">
        <v>16944972</v>
      </c>
      <c r="F14" s="6"/>
      <c r="G14" s="5" t="s">
        <v>26</v>
      </c>
      <c r="H14" s="1">
        <v>1275236.8363000001</v>
      </c>
    </row>
    <row r="15" spans="1:11" x14ac:dyDescent="0.25">
      <c r="A15" s="5" t="s">
        <v>13</v>
      </c>
      <c r="B15" s="10">
        <v>19509215</v>
      </c>
      <c r="C15" s="6"/>
      <c r="D15" s="5" t="s">
        <v>27</v>
      </c>
      <c r="E15" s="3">
        <v>16992745</v>
      </c>
      <c r="F15" s="6"/>
      <c r="G15" s="5" t="s">
        <v>27</v>
      </c>
      <c r="H15" s="1">
        <v>1308403.3230000001</v>
      </c>
    </row>
    <row r="16" spans="1:11" x14ac:dyDescent="0.25">
      <c r="A16" s="5" t="s">
        <v>11</v>
      </c>
      <c r="B16" s="10">
        <v>19518032</v>
      </c>
      <c r="C16" s="6"/>
      <c r="D16" s="5" t="s">
        <v>28</v>
      </c>
      <c r="E16" s="3">
        <v>17578072</v>
      </c>
      <c r="F16" s="6"/>
      <c r="G16" s="5" t="s">
        <v>28</v>
      </c>
      <c r="H16" s="1">
        <v>1331786.3082000001</v>
      </c>
    </row>
    <row r="17" spans="1:12" x14ac:dyDescent="0.25">
      <c r="A17" s="5" t="s">
        <v>10</v>
      </c>
      <c r="B17" s="10">
        <v>19535663</v>
      </c>
      <c r="C17" s="6"/>
      <c r="D17" s="5" t="s">
        <v>29</v>
      </c>
      <c r="E17" s="3">
        <v>17255821</v>
      </c>
      <c r="F17" s="6"/>
      <c r="G17" s="5" t="s">
        <v>29</v>
      </c>
      <c r="H17" s="1">
        <v>1311937.4343000001</v>
      </c>
    </row>
    <row r="18" spans="1:12" x14ac:dyDescent="0.25">
      <c r="A18" s="5" t="s">
        <v>16</v>
      </c>
      <c r="B18" s="10">
        <v>19913988</v>
      </c>
      <c r="C18" s="6"/>
      <c r="D18" s="5" t="s">
        <v>30</v>
      </c>
      <c r="E18" s="3">
        <v>17446548</v>
      </c>
      <c r="F18" s="6"/>
      <c r="G18" s="5" t="s">
        <v>30</v>
      </c>
      <c r="H18" s="1">
        <v>1311596.1475</v>
      </c>
    </row>
    <row r="19" spans="1:12" x14ac:dyDescent="0.25">
      <c r="A19" s="5" t="s">
        <v>15</v>
      </c>
      <c r="B19" s="10">
        <v>20105096</v>
      </c>
      <c r="C19" s="6"/>
      <c r="F19" s="6"/>
    </row>
    <row r="20" spans="1:12" x14ac:dyDescent="0.25">
      <c r="A20" s="6"/>
      <c r="B20" s="6"/>
      <c r="C20" s="6"/>
      <c r="D20" s="6"/>
      <c r="E20" s="6"/>
      <c r="F20" s="6"/>
      <c r="G20" s="6"/>
      <c r="H20" s="6"/>
      <c r="I20" s="6"/>
      <c r="J20" s="6"/>
      <c r="K20" s="6"/>
      <c r="L20" s="6"/>
    </row>
    <row r="21" spans="1:12" x14ac:dyDescent="0.25">
      <c r="F21" s="6"/>
    </row>
    <row r="22" spans="1:12" x14ac:dyDescent="0.25">
      <c r="A22" s="4" t="s">
        <v>4</v>
      </c>
      <c r="B22" t="s">
        <v>0</v>
      </c>
      <c r="D22" s="4" t="s">
        <v>4</v>
      </c>
      <c r="E22" t="s">
        <v>2</v>
      </c>
      <c r="F22" s="6"/>
      <c r="G22" s="4" t="s">
        <v>4</v>
      </c>
      <c r="H22" t="s">
        <v>0</v>
      </c>
      <c r="J22" s="4" t="s">
        <v>4</v>
      </c>
      <c r="K22" t="s">
        <v>2</v>
      </c>
    </row>
    <row r="23" spans="1:12" x14ac:dyDescent="0.25">
      <c r="A23" s="5" t="s">
        <v>5</v>
      </c>
      <c r="B23" s="1">
        <v>2025296.0219000001</v>
      </c>
      <c r="C23" t="str">
        <f>TEXT(GETPIVOTDATA("[Measures].[Sum of Price]",$A$22,"[Rates].[Energy Type]","[Rates].[Energy Type].&amp;[Electricity]"),"$##,00")</f>
        <v>$2,025,296</v>
      </c>
      <c r="D23" s="5" t="s">
        <v>5</v>
      </c>
      <c r="E23" s="3">
        <v>21666978</v>
      </c>
      <c r="F23" s="6" t="str">
        <f>IFERROR(TEXT(GETPIVOTDATA("[Measures].[Sum of Consumption]",$D$22,"[Rates].[Energy Type]","[Rates].[Energy Type].&amp;[Electricity]"),"00,00"),0)</f>
        <v>21,666,978</v>
      </c>
      <c r="G23" s="5" t="s">
        <v>38</v>
      </c>
      <c r="H23" s="1">
        <v>4335044.4248000002</v>
      </c>
      <c r="J23" s="5" t="s">
        <v>38</v>
      </c>
      <c r="K23" s="10">
        <v>57287047</v>
      </c>
    </row>
    <row r="24" spans="1:12" x14ac:dyDescent="0.25">
      <c r="A24" s="5" t="s">
        <v>6</v>
      </c>
      <c r="B24" s="1">
        <v>3011010.8739999998</v>
      </c>
      <c r="C24" t="str">
        <f>TEXT(GETPIVOTDATA("[Measures].[Sum of Price]",$A$22,"[Rates].[Energy Type]","[Rates].[Energy Type].&amp;[Gas]"),"$##,00")</f>
        <v>$3,011,011</v>
      </c>
      <c r="D24" s="5" t="s">
        <v>6</v>
      </c>
      <c r="E24" s="3">
        <v>2553088</v>
      </c>
      <c r="F24" s="6" t="str">
        <f>IFERROR(TEXT(GETPIVOTDATA("[Measures].[Sum of Consumption]",$D$22,"[Rates].[Energy Type]","[Rates].[Energy Type].&amp;[Gas]"),"00,00"),0)</f>
        <v>2,553,088</v>
      </c>
      <c r="G24" s="5" t="s">
        <v>35</v>
      </c>
      <c r="H24" s="1">
        <v>4307315.5563000003</v>
      </c>
      <c r="J24" s="5" t="s">
        <v>35</v>
      </c>
      <c r="K24" s="10">
        <v>56946051</v>
      </c>
    </row>
    <row r="25" spans="1:12" x14ac:dyDescent="0.25">
      <c r="A25" s="5" t="s">
        <v>7</v>
      </c>
      <c r="B25" s="1">
        <v>10806192.070599999</v>
      </c>
      <c r="C25" t="str">
        <f>TEXT(GETPIVOTDATA("[Measures].[Sum of Price]",$A$22,"[Rates].[Energy Type]","[Rates].[Energy Type].&amp;[Water]"),"$##,00")</f>
        <v>$10,806,192</v>
      </c>
      <c r="D25" s="5" t="s">
        <v>7</v>
      </c>
      <c r="E25" s="3">
        <v>186245327</v>
      </c>
      <c r="F25" s="6" t="str">
        <f>IFERROR(TEXT(GETPIVOTDATA("[Measures].[Sum of Consumption]",$D$22,"[Rates].[Energy Type]","[Rates].[Energy Type].&amp;[Water]"),"00,00"),0)</f>
        <v>186,245,327</v>
      </c>
      <c r="G25" s="5" t="s">
        <v>37</v>
      </c>
      <c r="H25" s="1">
        <v>4280143.1293000001</v>
      </c>
      <c r="J25" s="5" t="s">
        <v>37</v>
      </c>
      <c r="K25" s="10">
        <v>56724642</v>
      </c>
    </row>
    <row r="26" spans="1:12" x14ac:dyDescent="0.25">
      <c r="F26" s="6"/>
      <c r="G26" s="5" t="s">
        <v>39</v>
      </c>
      <c r="H26" s="1">
        <v>1479068.1111999999</v>
      </c>
      <c r="J26" s="5" t="s">
        <v>39</v>
      </c>
      <c r="K26" s="10">
        <v>20105096</v>
      </c>
    </row>
    <row r="27" spans="1:12" x14ac:dyDescent="0.25">
      <c r="G27" s="5" t="s">
        <v>36</v>
      </c>
      <c r="H27" s="1">
        <v>1440927.7449</v>
      </c>
      <c r="J27" s="5" t="s">
        <v>36</v>
      </c>
      <c r="K27" s="10">
        <v>19402557</v>
      </c>
    </row>
    <row r="30" spans="1:12" s="7" customFormat="1" ht="14.2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9308-0FC1-47C6-A962-B16D464409F2}">
  <dimension ref="A1:M29"/>
  <sheetViews>
    <sheetView workbookViewId="0">
      <selection activeCell="I5" sqref="I5"/>
    </sheetView>
  </sheetViews>
  <sheetFormatPr defaultRowHeight="15" x14ac:dyDescent="0.25"/>
  <cols>
    <col min="1" max="1" width="13.42578125" bestFit="1" customWidth="1"/>
    <col min="2" max="3" width="20.28515625" bestFit="1" customWidth="1"/>
    <col min="4" max="4" width="8.42578125" bestFit="1" customWidth="1"/>
    <col min="5" max="5" width="12.7109375" bestFit="1" customWidth="1"/>
    <col min="6" max="6" width="13.85546875" bestFit="1" customWidth="1"/>
    <col min="7" max="7" width="8.42578125" bestFit="1" customWidth="1"/>
    <col min="8" max="8" width="20.28515625" bestFit="1" customWidth="1"/>
    <col min="9" max="9" width="23.5703125" bestFit="1" customWidth="1"/>
    <col min="10" max="10" width="8.42578125" bestFit="1" customWidth="1"/>
    <col min="11" max="11" width="12.7109375" bestFit="1" customWidth="1"/>
    <col min="12" max="12" width="15.5703125" bestFit="1" customWidth="1"/>
    <col min="13" max="13" width="8.42578125" bestFit="1" customWidth="1"/>
  </cols>
  <sheetData>
    <row r="1" spans="1:13" x14ac:dyDescent="0.25">
      <c r="A1" s="4" t="s">
        <v>44</v>
      </c>
      <c r="B1" t="s" vm="4">
        <v>7</v>
      </c>
      <c r="C1" s="4" t="s">
        <v>40</v>
      </c>
      <c r="D1" t="s" vm="2">
        <v>7</v>
      </c>
      <c r="F1" s="4" t="s">
        <v>40</v>
      </c>
      <c r="G1" t="s" vm="2">
        <v>7</v>
      </c>
      <c r="I1" s="4" t="s">
        <v>40</v>
      </c>
      <c r="J1" t="s" vm="2">
        <v>7</v>
      </c>
      <c r="L1" s="4" t="s">
        <v>40</v>
      </c>
      <c r="M1" t="s" vm="2">
        <v>7</v>
      </c>
    </row>
    <row r="3" spans="1:13" x14ac:dyDescent="0.25">
      <c r="A3" t="s">
        <v>45</v>
      </c>
      <c r="C3" t="s">
        <v>2</v>
      </c>
      <c r="F3" t="s">
        <v>0</v>
      </c>
      <c r="I3" t="s">
        <v>9</v>
      </c>
      <c r="L3" t="s">
        <v>8</v>
      </c>
    </row>
    <row r="4" spans="1:13" x14ac:dyDescent="0.25">
      <c r="A4" s="10">
        <v>11</v>
      </c>
      <c r="C4" s="10">
        <v>186245327</v>
      </c>
      <c r="F4" s="1">
        <v>10806192.070599999</v>
      </c>
      <c r="I4" s="10">
        <v>352737.36174242425</v>
      </c>
      <c r="L4" s="1">
        <v>20466.2729</v>
      </c>
    </row>
    <row r="5" spans="1:13" x14ac:dyDescent="0.25">
      <c r="A5">
        <f>IFERROR(GETPIVOTDATA("[Measures].[Distinct Count of Building]",$A$3),0)</f>
        <v>11</v>
      </c>
      <c r="C5" t="str">
        <f>"Total: " &amp; IFERROR(TEXT(GETPIVOTDATA("[Measures].[Sum of Consumption]",$C$3), "[&gt;=1000000]0.00,,""M m³"";[&gt;=1000]0.00, "" m³"";0.00 "" L"""), 0)</f>
        <v>Total: 186.25M m³</v>
      </c>
      <c r="F5" t="str">
        <f>"Total: " &amp; IFERROR(TEXT(GETPIVOTDATA("[Measures].[Sum of Price]",$F$3), "[&gt;=1000000]""$""0.00,,""M"";[&gt;=1000]""$""0.00,""K"";""$""0.00"), 0)</f>
        <v>Total: $10.81M</v>
      </c>
      <c r="I5" t="str">
        <f>"Avg: " &amp; IFERROR(TEXT(GETPIVOTDATA("[Measures].[Average of Consumption]",$I$3), "[&gt;=1000000]0.00,,""M m³"";[&gt;=1000]0.00, "" m³"";0.00 "" L"""), 0)</f>
        <v>Avg: 352.74  m³</v>
      </c>
      <c r="L5" t="str">
        <f>"Avg: " &amp; IFERROR(TEXT(GETPIVOTDATA("[Measures].[Average of Price]",$L$3),"[&gt;=1000000]""$""0.00,,""M"";[&gt;=1000]""$""0.00,""K"";""$""0.00"), 0)</f>
        <v>Avg: $20.47K</v>
      </c>
    </row>
    <row r="6" spans="1:13" x14ac:dyDescent="0.25">
      <c r="A6" s="4" t="s">
        <v>40</v>
      </c>
      <c r="B6" t="s" vm="2">
        <v>7</v>
      </c>
      <c r="D6" s="4" t="s">
        <v>40</v>
      </c>
      <c r="E6" t="s" vm="2">
        <v>7</v>
      </c>
      <c r="G6" s="4" t="s">
        <v>40</v>
      </c>
      <c r="H6" t="s" vm="2">
        <v>7</v>
      </c>
      <c r="J6" s="4" t="s">
        <v>40</v>
      </c>
      <c r="K6" t="s" vm="2">
        <v>7</v>
      </c>
    </row>
    <row r="8" spans="1:13" x14ac:dyDescent="0.25">
      <c r="A8" s="4" t="s">
        <v>4</v>
      </c>
      <c r="B8" t="s">
        <v>2</v>
      </c>
      <c r="D8" s="4" t="s">
        <v>4</v>
      </c>
      <c r="E8" t="s">
        <v>0</v>
      </c>
      <c r="G8" s="4" t="s">
        <v>4</v>
      </c>
      <c r="H8" t="s">
        <v>2</v>
      </c>
      <c r="J8" s="4" t="s">
        <v>4</v>
      </c>
      <c r="K8" t="s">
        <v>0</v>
      </c>
    </row>
    <row r="9" spans="1:13" x14ac:dyDescent="0.25">
      <c r="A9" s="5" t="s">
        <v>18</v>
      </c>
      <c r="B9" s="10">
        <v>45186526</v>
      </c>
      <c r="C9" t="str">
        <f>IFERROR(TEXT(GETPIVOTDATA("[Measures].[Sum of Consumption]",$A$8,"[Energy Consumptions].[Date (Year)]","[Energy Consumptions].[Date (Year)].&amp;[2016]"), "#,##0") &amp; " m³", 0)</f>
        <v>45,186,526 m³</v>
      </c>
      <c r="D9" s="5">
        <v>2016</v>
      </c>
      <c r="E9" s="1">
        <v>2259326.2999999998</v>
      </c>
      <c r="F9" t="str">
        <f>IFERROR(TEXT(GETPIVOTDATA("[Measures].[Sum of Price]",$D$8,"[Energy Consumptions].[Year]","[Energy Consumptions].[Year].&amp;[2016]"),"$##,00"),0)</f>
        <v>$2,259,326</v>
      </c>
      <c r="G9" s="5" t="s">
        <v>19</v>
      </c>
      <c r="H9" s="10">
        <v>16043440</v>
      </c>
      <c r="J9" s="5" t="s">
        <v>19</v>
      </c>
      <c r="K9" s="1">
        <v>932100.14260000002</v>
      </c>
    </row>
    <row r="10" spans="1:13" x14ac:dyDescent="0.25">
      <c r="A10" s="5" t="s">
        <v>31</v>
      </c>
      <c r="B10" s="10">
        <v>47965802</v>
      </c>
      <c r="C10" t="str">
        <f>IFERROR(TEXT(GETPIVOTDATA("[Measures].[Sum of Consumption]",$A$8,"[Energy Consumptions].[Date (Year)]","[Energy Consumptions].[Date (Year)].&amp;[2017]"), "#,##0") &amp; " m³", 0)</f>
        <v>47,965,802 m³</v>
      </c>
      <c r="D10" s="5">
        <v>2017</v>
      </c>
      <c r="E10" s="1">
        <v>2638119.11</v>
      </c>
      <c r="F10" t="str">
        <f>IFERROR(TEXT(GETPIVOTDATA("[Measures].[Sum of Price]",$D$8,"[Energy Consumptions].[Year]","[Energy Consumptions].[Year].&amp;[2017]"),"$##,00"),0)</f>
        <v>$2,638,119</v>
      </c>
      <c r="G10" s="5" t="s">
        <v>20</v>
      </c>
      <c r="H10" s="10">
        <v>15948317</v>
      </c>
      <c r="J10" s="5" t="s">
        <v>20</v>
      </c>
      <c r="K10" s="1">
        <v>929667.77280000004</v>
      </c>
    </row>
    <row r="11" spans="1:13" x14ac:dyDescent="0.25">
      <c r="A11" s="5" t="s">
        <v>32</v>
      </c>
      <c r="B11" s="10">
        <v>47370649</v>
      </c>
      <c r="C11" t="str">
        <f>IFERROR(TEXT(GETPIVOTDATA("[Measures].[Sum of Consumption]",$A$8,"[Energy Consumptions].[Date (Year)]","[Energy Consumptions].[Date (Year)].&amp;[2018]"), "#,##0") &amp; " m³", 0)</f>
        <v>47,370,649 m³</v>
      </c>
      <c r="D11" s="5">
        <v>2018</v>
      </c>
      <c r="E11" s="1">
        <v>2865924.2645</v>
      </c>
      <c r="F11" t="str">
        <f>IFERROR(TEXT(GETPIVOTDATA("[Measures].[Sum of Price]",$D$8,"[Energy Consumptions].[Year]","[Energy Consumptions].[Year].&amp;[2018]"),"$##,00"),0)</f>
        <v>$2,865,924</v>
      </c>
      <c r="G11" s="5" t="s">
        <v>21</v>
      </c>
      <c r="H11" s="10">
        <v>15238365</v>
      </c>
      <c r="J11" s="5" t="s">
        <v>21</v>
      </c>
      <c r="K11" s="1">
        <v>885762.56129999994</v>
      </c>
    </row>
    <row r="12" spans="1:13" x14ac:dyDescent="0.25">
      <c r="A12" s="5" t="s">
        <v>33</v>
      </c>
      <c r="B12" s="10">
        <v>45722350</v>
      </c>
      <c r="C12" t="str">
        <f>IFERROR(TEXT(GETPIVOTDATA("[Measures].[Sum of Consumption]",$A$8,"[Energy Consumptions].[Date (Year)]","[Energy Consumptions].[Date (Year)].&amp;[2019]"), "#,##0") &amp; " m³", 0)</f>
        <v>45,722,350 m³</v>
      </c>
      <c r="D12" s="5">
        <v>2019</v>
      </c>
      <c r="E12" s="1">
        <v>3042822.3961</v>
      </c>
      <c r="F12" t="str">
        <f>IFERROR(TEXT(GETPIVOTDATA("[Measures].[Sum of Price]",$D$8,"[Energy Consumptions].[Year]","[Energy Consumptions].[Year].&amp;[2019]"),"$##,00"),0)</f>
        <v>$3,042,822</v>
      </c>
      <c r="G12" s="5" t="s">
        <v>22</v>
      </c>
      <c r="H12" s="10">
        <v>16418074</v>
      </c>
      <c r="J12" s="5" t="s">
        <v>22</v>
      </c>
      <c r="K12" s="1">
        <v>953030.3101</v>
      </c>
    </row>
    <row r="13" spans="1:13" x14ac:dyDescent="0.25">
      <c r="G13" s="5" t="s">
        <v>23</v>
      </c>
      <c r="H13" s="10">
        <v>15704580</v>
      </c>
      <c r="J13" s="5" t="s">
        <v>23</v>
      </c>
      <c r="K13" s="1">
        <v>904974.57270000002</v>
      </c>
    </row>
    <row r="14" spans="1:13" x14ac:dyDescent="0.25">
      <c r="A14" s="4" t="s">
        <v>40</v>
      </c>
      <c r="B14" t="s" vm="2">
        <v>7</v>
      </c>
      <c r="D14" s="4" t="s">
        <v>40</v>
      </c>
      <c r="E14" t="s" vm="2">
        <v>7</v>
      </c>
      <c r="G14" s="5" t="s">
        <v>24</v>
      </c>
      <c r="H14" s="10">
        <v>15509248</v>
      </c>
      <c r="J14" s="5" t="s">
        <v>24</v>
      </c>
      <c r="K14" s="1">
        <v>899998.39350000001</v>
      </c>
    </row>
    <row r="15" spans="1:13" x14ac:dyDescent="0.25">
      <c r="G15" s="5" t="s">
        <v>25</v>
      </c>
      <c r="H15" s="10">
        <v>15560108</v>
      </c>
      <c r="J15" s="5" t="s">
        <v>25</v>
      </c>
      <c r="K15" s="1">
        <v>904949.07909999997</v>
      </c>
    </row>
    <row r="16" spans="1:13" x14ac:dyDescent="0.25">
      <c r="A16" s="4" t="s">
        <v>4</v>
      </c>
      <c r="B16" t="s">
        <v>2</v>
      </c>
      <c r="D16" s="4" t="s">
        <v>4</v>
      </c>
      <c r="E16" t="s">
        <v>0</v>
      </c>
      <c r="G16" s="5" t="s">
        <v>26</v>
      </c>
      <c r="H16" s="10">
        <v>14907600</v>
      </c>
      <c r="J16" s="5" t="s">
        <v>26</v>
      </c>
      <c r="K16" s="1">
        <v>865130.07539999997</v>
      </c>
    </row>
    <row r="17" spans="1:11" x14ac:dyDescent="0.25">
      <c r="A17" s="5" t="s">
        <v>41</v>
      </c>
      <c r="B17" s="10">
        <v>17290738</v>
      </c>
      <c r="D17" s="5" t="s">
        <v>13</v>
      </c>
      <c r="E17" s="1">
        <v>1001807.4</v>
      </c>
      <c r="G17" s="5" t="s">
        <v>27</v>
      </c>
      <c r="H17" s="10">
        <v>14886683</v>
      </c>
      <c r="J17" s="5" t="s">
        <v>27</v>
      </c>
      <c r="K17" s="1">
        <v>864299.07929999998</v>
      </c>
    </row>
    <row r="18" spans="1:11" x14ac:dyDescent="0.25">
      <c r="A18" s="5" t="s">
        <v>11</v>
      </c>
      <c r="B18" s="10">
        <v>17306610</v>
      </c>
      <c r="D18" s="5" t="s">
        <v>10</v>
      </c>
      <c r="E18" s="1">
        <v>1006647.7997</v>
      </c>
      <c r="G18" s="5" t="s">
        <v>28</v>
      </c>
      <c r="H18" s="10">
        <v>15455378</v>
      </c>
      <c r="J18" s="5" t="s">
        <v>28</v>
      </c>
      <c r="K18" s="1">
        <v>893709.85389999999</v>
      </c>
    </row>
    <row r="19" spans="1:11" x14ac:dyDescent="0.25">
      <c r="A19" s="5" t="s">
        <v>10</v>
      </c>
      <c r="B19" s="10">
        <v>17378023</v>
      </c>
      <c r="D19" s="5" t="s">
        <v>11</v>
      </c>
      <c r="E19" s="1">
        <v>1013730.4969</v>
      </c>
      <c r="G19" s="5" t="s">
        <v>29</v>
      </c>
      <c r="H19" s="10">
        <v>15151465</v>
      </c>
      <c r="J19" s="5" t="s">
        <v>29</v>
      </c>
      <c r="K19" s="1">
        <v>879798.64619999996</v>
      </c>
    </row>
    <row r="20" spans="1:11" x14ac:dyDescent="0.25">
      <c r="A20" s="5" t="s">
        <v>16</v>
      </c>
      <c r="B20" s="10">
        <v>17723457</v>
      </c>
      <c r="D20" s="5" t="s">
        <v>15</v>
      </c>
      <c r="E20" s="1">
        <v>1033106.3202</v>
      </c>
      <c r="G20" s="5" t="s">
        <v>30</v>
      </c>
      <c r="H20" s="10">
        <v>15422069</v>
      </c>
      <c r="J20" s="5" t="s">
        <v>30</v>
      </c>
      <c r="K20" s="1">
        <v>892771.58369999996</v>
      </c>
    </row>
    <row r="21" spans="1:11" x14ac:dyDescent="0.25">
      <c r="A21" s="5" t="s">
        <v>15</v>
      </c>
      <c r="B21" s="10">
        <v>17877559</v>
      </c>
      <c r="D21" s="5" t="s">
        <v>16</v>
      </c>
      <c r="E21" s="1">
        <v>1033473.7853</v>
      </c>
      <c r="J21" s="4" t="s">
        <v>40</v>
      </c>
      <c r="K21" t="s" vm="2">
        <v>7</v>
      </c>
    </row>
    <row r="22" spans="1:11" x14ac:dyDescent="0.25">
      <c r="G22" s="4" t="s">
        <v>40</v>
      </c>
      <c r="H22" t="s" vm="2">
        <v>7</v>
      </c>
    </row>
    <row r="23" spans="1:11" x14ac:dyDescent="0.25">
      <c r="J23" s="4" t="s">
        <v>4</v>
      </c>
      <c r="K23" t="s">
        <v>0</v>
      </c>
    </row>
    <row r="24" spans="1:11" x14ac:dyDescent="0.25">
      <c r="G24" s="4" t="s">
        <v>4</v>
      </c>
      <c r="H24" t="s">
        <v>2</v>
      </c>
      <c r="J24" s="5" t="s">
        <v>38</v>
      </c>
      <c r="K24" s="1">
        <v>2948617.7308999998</v>
      </c>
    </row>
    <row r="25" spans="1:11" x14ac:dyDescent="0.25">
      <c r="G25" s="5" t="s">
        <v>38</v>
      </c>
      <c r="H25" s="10">
        <v>50709610</v>
      </c>
      <c r="J25" s="5" t="s">
        <v>35</v>
      </c>
      <c r="K25" s="1">
        <v>2923647.6897999998</v>
      </c>
    </row>
    <row r="26" spans="1:11" x14ac:dyDescent="0.25">
      <c r="G26" s="5" t="s">
        <v>35</v>
      </c>
      <c r="H26" s="10">
        <v>50361577</v>
      </c>
      <c r="J26" s="5" t="s">
        <v>37</v>
      </c>
      <c r="K26" s="1">
        <v>2901404.3421999998</v>
      </c>
    </row>
    <row r="27" spans="1:11" x14ac:dyDescent="0.25">
      <c r="G27" s="5" t="s">
        <v>37</v>
      </c>
      <c r="H27" s="10">
        <v>50005843</v>
      </c>
      <c r="J27" s="5" t="s">
        <v>39</v>
      </c>
      <c r="K27" s="1">
        <v>1033106.3202</v>
      </c>
    </row>
    <row r="28" spans="1:11" x14ac:dyDescent="0.25">
      <c r="G28" s="5" t="s">
        <v>39</v>
      </c>
      <c r="H28" s="10">
        <v>17877559</v>
      </c>
      <c r="J28" s="5" t="s">
        <v>36</v>
      </c>
      <c r="K28" s="1">
        <v>999415.98750000005</v>
      </c>
    </row>
    <row r="29" spans="1:11" x14ac:dyDescent="0.25">
      <c r="G29" s="5" t="s">
        <v>36</v>
      </c>
      <c r="H29" s="10">
        <v>17290738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8DA3-3AB8-428A-AECE-CB69EA153011}">
  <dimension ref="A1:M27"/>
  <sheetViews>
    <sheetView workbookViewId="0">
      <selection activeCell="C13" sqref="C13"/>
    </sheetView>
  </sheetViews>
  <sheetFormatPr defaultRowHeight="15" x14ac:dyDescent="0.25"/>
  <cols>
    <col min="1" max="1" width="13.42578125" bestFit="1" customWidth="1"/>
    <col min="2" max="3" width="20.28515625" bestFit="1" customWidth="1"/>
    <col min="4" max="4" width="13.42578125" bestFit="1" customWidth="1"/>
    <col min="5" max="5" width="12.28515625" bestFit="1" customWidth="1"/>
    <col min="6" max="6" width="12.7109375" bestFit="1" customWidth="1"/>
    <col min="7" max="7" width="13.42578125" bestFit="1" customWidth="1"/>
    <col min="8" max="8" width="20.28515625" bestFit="1" customWidth="1"/>
    <col min="9" max="9" width="23.5703125" bestFit="1" customWidth="1"/>
    <col min="10" max="10" width="13.42578125" bestFit="1" customWidth="1"/>
    <col min="11" max="11" width="12.28515625" bestFit="1" customWidth="1"/>
    <col min="12" max="12" width="15.5703125" bestFit="1" customWidth="1"/>
    <col min="13" max="13" width="6.7109375" bestFit="1" customWidth="1"/>
    <col min="14" max="15" width="16.85546875" bestFit="1" customWidth="1"/>
    <col min="16" max="16" width="11.28515625" bestFit="1" customWidth="1"/>
  </cols>
  <sheetData>
    <row r="1" spans="1:13" x14ac:dyDescent="0.25">
      <c r="A1" s="4" t="s">
        <v>44</v>
      </c>
      <c r="B1" t="s" vm="5">
        <v>6</v>
      </c>
      <c r="C1" s="4" t="s">
        <v>40</v>
      </c>
      <c r="D1" t="s" vm="1">
        <v>6</v>
      </c>
      <c r="F1" s="4" t="s">
        <v>40</v>
      </c>
      <c r="G1" t="s" vm="1">
        <v>6</v>
      </c>
      <c r="I1" s="4" t="s">
        <v>40</v>
      </c>
      <c r="J1" t="s" vm="1">
        <v>6</v>
      </c>
      <c r="L1" s="4" t="s">
        <v>40</v>
      </c>
      <c r="M1" t="s" vm="1">
        <v>6</v>
      </c>
    </row>
    <row r="3" spans="1:13" x14ac:dyDescent="0.25">
      <c r="A3" t="s">
        <v>45</v>
      </c>
      <c r="C3" t="s">
        <v>2</v>
      </c>
      <c r="F3" t="s">
        <v>0</v>
      </c>
      <c r="I3" t="s">
        <v>9</v>
      </c>
      <c r="L3" t="s">
        <v>8</v>
      </c>
    </row>
    <row r="4" spans="1:13" x14ac:dyDescent="0.25">
      <c r="A4" s="10">
        <v>11</v>
      </c>
      <c r="C4" s="10">
        <v>2553088</v>
      </c>
      <c r="F4" s="1">
        <v>3011010.8739999998</v>
      </c>
      <c r="G4" s="4" t="s">
        <v>40</v>
      </c>
      <c r="H4" t="s" vm="1">
        <v>6</v>
      </c>
      <c r="I4" s="10">
        <v>4835.393939393939</v>
      </c>
      <c r="J4" s="4" t="s">
        <v>40</v>
      </c>
      <c r="K4" t="s" vm="1">
        <v>6</v>
      </c>
      <c r="L4" s="1">
        <v>5702.6720999999998</v>
      </c>
    </row>
    <row r="5" spans="1:13" ht="30" x14ac:dyDescent="0.25">
      <c r="A5">
        <f>IFERROR(GETPIVOTDATA("[Measures].[Distinct Count of Building]",$A$3),0)</f>
        <v>11</v>
      </c>
      <c r="C5" t="str">
        <f>"Total: " &amp; IFERROR(TEXT(GETPIVOTDATA("[Measures].[Sum of Consumption]",$C$3), "[&gt;=1000000]0.00,,""M m³"";[&gt;=1000]0.00,""k m³"";0.00 "" m³"""), 0)</f>
        <v>Total: 2.55M m³</v>
      </c>
      <c r="F5" t="str">
        <f>"Total: " &amp; IFERROR(TEXT(GETPIVOTDATA("[Measures].[Sum of Price]",$F$3), "[&gt;=1000000]""$""0.00,,""M"";[&gt;=1000]""$""0.00,""K"";""$""0.00"), 0)</f>
        <v>Total: $3.01M</v>
      </c>
      <c r="I5" s="8" t="str">
        <f>"Avg: " &amp; IFERROR(TEXT(GETPIVOTDATA("[Measures].[Average of Consumption]",$I$3), "[&gt;=1000000]0.00,,""M m³"";[&gt;=1000]0.00,""k m³"";0.00 "" m³"""), 0)</f>
        <v>Avg: 4.84k m³</v>
      </c>
      <c r="L5" t="str">
        <f>"Avg: " &amp; IFERROR(TEXT(GETPIVOTDATA("[Measures].[Average of Price]",$L$3),"[&gt;=1000000]""$""0.00,,""M"";[&gt;=1000]""$""0.00,""K"";""$""0.00"), 0)</f>
        <v>Avg: $5.70K</v>
      </c>
    </row>
    <row r="6" spans="1:13" x14ac:dyDescent="0.25">
      <c r="A6" s="4" t="s">
        <v>40</v>
      </c>
      <c r="B6" t="s" vm="1">
        <v>6</v>
      </c>
      <c r="D6" s="4" t="s">
        <v>40</v>
      </c>
      <c r="E6" t="s" vm="1">
        <v>6</v>
      </c>
      <c r="G6" s="4" t="s">
        <v>4</v>
      </c>
      <c r="H6" t="s">
        <v>2</v>
      </c>
      <c r="J6" s="4" t="s">
        <v>4</v>
      </c>
      <c r="K6" t="s">
        <v>0</v>
      </c>
    </row>
    <row r="7" spans="1:13" x14ac:dyDescent="0.25">
      <c r="G7" s="5" t="s">
        <v>19</v>
      </c>
      <c r="H7" s="10">
        <v>193320</v>
      </c>
      <c r="J7" s="5" t="s">
        <v>19</v>
      </c>
      <c r="K7" s="1">
        <v>228598.92600000001</v>
      </c>
    </row>
    <row r="8" spans="1:13" x14ac:dyDescent="0.25">
      <c r="A8" s="4" t="s">
        <v>4</v>
      </c>
      <c r="B8" t="s">
        <v>2</v>
      </c>
      <c r="D8" s="4" t="s">
        <v>4</v>
      </c>
      <c r="E8" t="s">
        <v>0</v>
      </c>
      <c r="G8" s="5" t="s">
        <v>20</v>
      </c>
      <c r="H8" s="10">
        <v>209432</v>
      </c>
      <c r="J8" s="5" t="s">
        <v>20</v>
      </c>
      <c r="K8" s="1">
        <v>246275.55900000001</v>
      </c>
    </row>
    <row r="9" spans="1:13" ht="24.75" customHeight="1" x14ac:dyDescent="0.25">
      <c r="A9" s="5" t="s">
        <v>18</v>
      </c>
      <c r="B9" s="10">
        <v>504523</v>
      </c>
      <c r="C9" t="str">
        <f>IFERROR(TEXT(GETPIVOTDATA("[Measures].[Sum of Consumption]",$A$8,"[Energy Consumptions].[Date (Year)]","[Energy Consumptions].[Date (Year)].&amp;[2016]"), "#,##0") &amp; " m³", 0)</f>
        <v>504,523 m³</v>
      </c>
      <c r="D9" s="5" t="s">
        <v>18</v>
      </c>
      <c r="E9" s="1">
        <v>504523</v>
      </c>
      <c r="F9" t="str">
        <f>IFERROR(TEXT(GETPIVOTDATA("[Measures].[Sum of Price]",$D$8,"[Energy Consumptions].[Date (Year)]","[Energy Consumptions].[Date (Year)].&amp;[2016]"),"$##,00"),0)</f>
        <v>$504,523</v>
      </c>
      <c r="G9" s="5" t="s">
        <v>21</v>
      </c>
      <c r="H9" s="10">
        <v>201204</v>
      </c>
      <c r="J9" s="5" t="s">
        <v>21</v>
      </c>
      <c r="K9" s="1">
        <v>238519.05300000001</v>
      </c>
    </row>
    <row r="10" spans="1:13" x14ac:dyDescent="0.25">
      <c r="A10" s="5" t="s">
        <v>31</v>
      </c>
      <c r="B10" s="10">
        <v>595505</v>
      </c>
      <c r="C10" t="str">
        <f>IFERROR(TEXT(GETPIVOTDATA("[Measures].[Sum of Consumption]",$A$8,"[Energy Consumptions].[Date (Year)]","[Energy Consumptions].[Date (Year)].&amp;[2017]"), "#,##0") &amp; " m³", 0)</f>
        <v>595,505 m³</v>
      </c>
      <c r="D10" s="5" t="s">
        <v>31</v>
      </c>
      <c r="E10" s="1">
        <v>655055.5</v>
      </c>
      <c r="F10" t="str">
        <f>IFERROR(TEXT(GETPIVOTDATA("[Measures].[Sum of Price]",$D$8,"[Energy Consumptions].[Date (Year)]","[Energy Consumptions].[Date (Year)].&amp;[2017]"),"$##,00"),0)</f>
        <v>$655,056</v>
      </c>
      <c r="G10" s="5" t="s">
        <v>22</v>
      </c>
      <c r="H10" s="10">
        <v>206495</v>
      </c>
      <c r="J10" s="5" t="s">
        <v>22</v>
      </c>
      <c r="K10" s="1">
        <v>243207.77799999999</v>
      </c>
    </row>
    <row r="11" spans="1:13" x14ac:dyDescent="0.25">
      <c r="A11" s="5" t="s">
        <v>32</v>
      </c>
      <c r="B11" s="10">
        <v>682566</v>
      </c>
      <c r="C11" t="str">
        <f>IFERROR(TEXT(GETPIVOTDATA("[Measures].[Sum of Consumption]",$A$8,"[Energy Consumptions].[Date (Year)]","[Energy Consumptions].[Date (Year)].&amp;[2018]"), "#,##0") &amp; " m³", 0)</f>
        <v>682,566 m³</v>
      </c>
      <c r="D11" s="5" t="s">
        <v>32</v>
      </c>
      <c r="E11" s="1">
        <v>825904.86</v>
      </c>
      <c r="F11" t="str">
        <f>IFERROR(TEXT(GETPIVOTDATA("[Measures].[Sum of Price]",$D$8,"[Energy Consumptions].[Date (Year)]","[Energy Consumptions].[Date (Year)].&amp;[2018]"),"$##,00"),0)</f>
        <v>$825,905</v>
      </c>
      <c r="G11" s="5" t="s">
        <v>23</v>
      </c>
      <c r="H11" s="10">
        <v>217798</v>
      </c>
      <c r="J11" s="5" t="s">
        <v>23</v>
      </c>
      <c r="K11" s="1">
        <v>256016.7</v>
      </c>
    </row>
    <row r="12" spans="1:13" x14ac:dyDescent="0.25">
      <c r="A12" s="5" t="s">
        <v>33</v>
      </c>
      <c r="B12" s="10">
        <v>770494</v>
      </c>
      <c r="C12" t="str">
        <f>IFERROR(TEXT(GETPIVOTDATA("[Measures].[Sum of Consumption]",$A$8,"[Energy Consumptions].[Date (Year)]","[Energy Consumptions].[Date (Year)].&amp;[2019]"), "#,##0") &amp; " m³", 0)</f>
        <v>770,494 m³</v>
      </c>
      <c r="D12" s="5" t="s">
        <v>33</v>
      </c>
      <c r="E12" s="1">
        <v>1025527.514</v>
      </c>
      <c r="F12" t="str">
        <f>IFERROR(TEXT(GETPIVOTDATA("[Measures].[Sum of Price]",$D$8,"[Energy Consumptions].[Date (Year)]","[Energy Consumptions].[Date (Year)].&amp;[2019]"),"$##,00"),0)</f>
        <v>$1,025,528</v>
      </c>
      <c r="G12" s="5" t="s">
        <v>24</v>
      </c>
      <c r="H12" s="10">
        <v>216891</v>
      </c>
      <c r="J12" s="5" t="s">
        <v>24</v>
      </c>
      <c r="K12" s="1">
        <v>256202.85699999999</v>
      </c>
    </row>
    <row r="13" spans="1:13" x14ac:dyDescent="0.25">
      <c r="G13" s="5" t="s">
        <v>25</v>
      </c>
      <c r="H13" s="10">
        <v>227956</v>
      </c>
      <c r="J13" s="5" t="s">
        <v>25</v>
      </c>
      <c r="K13" s="1">
        <v>269084.31099999999</v>
      </c>
    </row>
    <row r="14" spans="1:13" x14ac:dyDescent="0.25">
      <c r="G14" s="5" t="s">
        <v>26</v>
      </c>
      <c r="H14" s="10">
        <v>201991</v>
      </c>
      <c r="J14" s="5" t="s">
        <v>26</v>
      </c>
      <c r="K14" s="1">
        <v>238773.321</v>
      </c>
    </row>
    <row r="15" spans="1:13" x14ac:dyDescent="0.25">
      <c r="G15" s="5" t="s">
        <v>27</v>
      </c>
      <c r="H15" s="10">
        <v>226466</v>
      </c>
      <c r="J15" s="5" t="s">
        <v>27</v>
      </c>
      <c r="K15" s="1">
        <v>267665.48700000002</v>
      </c>
    </row>
    <row r="16" spans="1:13" x14ac:dyDescent="0.25">
      <c r="G16" s="5" t="s">
        <v>28</v>
      </c>
      <c r="H16" s="10">
        <v>221482</v>
      </c>
      <c r="J16" s="5" t="s">
        <v>28</v>
      </c>
      <c r="K16" s="1">
        <v>261022.427</v>
      </c>
    </row>
    <row r="17" spans="1:11" x14ac:dyDescent="0.25">
      <c r="A17" s="4" t="s">
        <v>40</v>
      </c>
      <c r="B17" t="s" vm="1">
        <v>6</v>
      </c>
      <c r="D17" s="4" t="s">
        <v>40</v>
      </c>
      <c r="E17" t="s" vm="1">
        <v>6</v>
      </c>
      <c r="G17" s="5" t="s">
        <v>29</v>
      </c>
      <c r="H17" s="10">
        <v>216712</v>
      </c>
      <c r="J17" s="5" t="s">
        <v>29</v>
      </c>
      <c r="K17" s="1">
        <v>255409.09400000001</v>
      </c>
    </row>
    <row r="18" spans="1:11" x14ac:dyDescent="0.25">
      <c r="G18" s="5" t="s">
        <v>30</v>
      </c>
      <c r="H18" s="10">
        <v>213341</v>
      </c>
      <c r="J18" s="5" t="s">
        <v>30</v>
      </c>
      <c r="K18" s="1">
        <v>250235.361</v>
      </c>
    </row>
    <row r="19" spans="1:11" x14ac:dyDescent="0.25">
      <c r="A19" s="4" t="s">
        <v>4</v>
      </c>
      <c r="B19" t="s">
        <v>2</v>
      </c>
      <c r="D19" s="4" t="s">
        <v>4</v>
      </c>
      <c r="E19" t="s">
        <v>0</v>
      </c>
      <c r="G19" s="4" t="s">
        <v>40</v>
      </c>
      <c r="H19" t="s" vm="1">
        <v>6</v>
      </c>
    </row>
    <row r="20" spans="1:11" x14ac:dyDescent="0.25">
      <c r="A20" s="5" t="s">
        <v>12</v>
      </c>
      <c r="B20" s="10">
        <v>233902</v>
      </c>
      <c r="D20" s="5" t="s">
        <v>17</v>
      </c>
      <c r="E20" s="1">
        <v>277278.21399999998</v>
      </c>
      <c r="J20" s="4" t="s">
        <v>40</v>
      </c>
      <c r="K20" t="s" vm="1">
        <v>6</v>
      </c>
    </row>
    <row r="21" spans="1:11" x14ac:dyDescent="0.25">
      <c r="A21" s="5" t="s">
        <v>11</v>
      </c>
      <c r="B21" s="10">
        <v>237083</v>
      </c>
      <c r="D21" s="5" t="s">
        <v>11</v>
      </c>
      <c r="E21" s="1">
        <v>279562.179</v>
      </c>
      <c r="G21" s="4" t="s">
        <v>4</v>
      </c>
      <c r="H21" t="s">
        <v>2</v>
      </c>
    </row>
    <row r="22" spans="1:11" x14ac:dyDescent="0.25">
      <c r="A22" s="5" t="s">
        <v>16</v>
      </c>
      <c r="B22" s="10">
        <v>237790</v>
      </c>
      <c r="D22" s="5" t="s">
        <v>16</v>
      </c>
      <c r="E22" s="1">
        <v>281109.84700000001</v>
      </c>
      <c r="G22" s="5" t="s">
        <v>38</v>
      </c>
      <c r="H22" s="10">
        <v>709938</v>
      </c>
      <c r="J22" s="4" t="s">
        <v>4</v>
      </c>
      <c r="K22" t="s">
        <v>0</v>
      </c>
    </row>
    <row r="23" spans="1:11" x14ac:dyDescent="0.25">
      <c r="A23" s="5" t="s">
        <v>10</v>
      </c>
      <c r="B23" s="10">
        <v>238953</v>
      </c>
      <c r="D23" s="5" t="s">
        <v>10</v>
      </c>
      <c r="E23" s="1">
        <v>282256.89199999999</v>
      </c>
      <c r="G23" s="5" t="s">
        <v>35</v>
      </c>
      <c r="H23" s="10">
        <v>708141</v>
      </c>
      <c r="J23" s="5" t="s">
        <v>38</v>
      </c>
      <c r="K23" s="1">
        <v>837940.05900000001</v>
      </c>
    </row>
    <row r="24" spans="1:11" x14ac:dyDescent="0.25">
      <c r="A24" s="5" t="s">
        <v>14</v>
      </c>
      <c r="B24" s="10">
        <v>243603</v>
      </c>
      <c r="D24" s="5" t="s">
        <v>14</v>
      </c>
      <c r="E24" s="1">
        <v>286375.00199999998</v>
      </c>
      <c r="G24" s="5" t="s">
        <v>37</v>
      </c>
      <c r="H24" s="10">
        <v>689500</v>
      </c>
      <c r="J24" s="5" t="s">
        <v>35</v>
      </c>
      <c r="K24" s="1">
        <v>834932.97199999995</v>
      </c>
    </row>
    <row r="25" spans="1:11" x14ac:dyDescent="0.25">
      <c r="G25" s="5" t="s">
        <v>36</v>
      </c>
      <c r="H25" s="10">
        <v>225232</v>
      </c>
      <c r="J25" s="5" t="s">
        <v>37</v>
      </c>
      <c r="K25" s="1">
        <v>814833.89099999995</v>
      </c>
    </row>
    <row r="26" spans="1:11" x14ac:dyDescent="0.25">
      <c r="G26" s="5" t="s">
        <v>39</v>
      </c>
      <c r="H26" s="10">
        <v>220277</v>
      </c>
      <c r="J26" s="5" t="s">
        <v>36</v>
      </c>
      <c r="K26" s="1">
        <v>265026.348</v>
      </c>
    </row>
    <row r="27" spans="1:11" x14ac:dyDescent="0.25">
      <c r="J27" s="5" t="s">
        <v>39</v>
      </c>
      <c r="K27" s="1">
        <v>258277.60399999999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1106-7181-4F8C-8F3D-07013EC01129}">
  <dimension ref="A1:M32"/>
  <sheetViews>
    <sheetView workbookViewId="0">
      <selection activeCell="C9" sqref="C9"/>
    </sheetView>
  </sheetViews>
  <sheetFormatPr defaultRowHeight="15" x14ac:dyDescent="0.25"/>
  <cols>
    <col min="1" max="1" width="13.42578125" bestFit="1" customWidth="1"/>
    <col min="2" max="3" width="20.28515625" bestFit="1" customWidth="1"/>
    <col min="4" max="4" width="13.42578125" bestFit="1" customWidth="1"/>
    <col min="5" max="5" width="12.28515625" bestFit="1" customWidth="1"/>
    <col min="6" max="6" width="12.7109375" bestFit="1" customWidth="1"/>
    <col min="7" max="7" width="11.7109375" bestFit="1" customWidth="1"/>
    <col min="8" max="8" width="13.42578125" bestFit="1" customWidth="1"/>
    <col min="9" max="9" width="23.5703125" bestFit="1" customWidth="1"/>
    <col min="10" max="10" width="11.7109375" bestFit="1" customWidth="1"/>
    <col min="12" max="12" width="15.5703125" bestFit="1" customWidth="1"/>
    <col min="13" max="13" width="11.7109375" bestFit="1" customWidth="1"/>
  </cols>
  <sheetData>
    <row r="1" spans="1:13" x14ac:dyDescent="0.25">
      <c r="A1" s="4" t="s">
        <v>44</v>
      </c>
      <c r="B1" t="s" vm="6">
        <v>5</v>
      </c>
      <c r="C1" s="4" t="s">
        <v>40</v>
      </c>
      <c r="D1" t="s" vm="3">
        <v>5</v>
      </c>
      <c r="F1" s="4" t="s">
        <v>40</v>
      </c>
      <c r="G1" t="s" vm="3">
        <v>5</v>
      </c>
      <c r="I1" s="4" t="s">
        <v>40</v>
      </c>
      <c r="J1" t="s" vm="3">
        <v>5</v>
      </c>
      <c r="L1" s="4" t="s">
        <v>40</v>
      </c>
      <c r="M1" t="s" vm="3">
        <v>5</v>
      </c>
    </row>
    <row r="3" spans="1:13" x14ac:dyDescent="0.25">
      <c r="A3" t="s">
        <v>45</v>
      </c>
      <c r="C3" t="s">
        <v>2</v>
      </c>
      <c r="F3" t="s">
        <v>0</v>
      </c>
      <c r="I3" t="s">
        <v>9</v>
      </c>
      <c r="L3" t="s">
        <v>8</v>
      </c>
    </row>
    <row r="4" spans="1:13" x14ac:dyDescent="0.25">
      <c r="A4" s="10">
        <v>11</v>
      </c>
      <c r="C4" s="10">
        <v>21666978</v>
      </c>
      <c r="F4" s="1">
        <v>2025296.0219000001</v>
      </c>
      <c r="I4" s="10">
        <v>41035.943181818184</v>
      </c>
      <c r="L4" s="1">
        <v>3835.7878999999998</v>
      </c>
    </row>
    <row r="5" spans="1:13" x14ac:dyDescent="0.25">
      <c r="A5">
        <f>IFERROR(GETPIVOTDATA("[Measures].[Distinct Count of Building]",$A$3),0)</f>
        <v>11</v>
      </c>
      <c r="C5" t="str">
        <f>"Total: " &amp; IFERROR(TEXT(GETPIVOTDATA("[Measures].[Sum of Consumption]",$C$3), "[&gt;=1000000]0.00,, "" MWh"";[&gt;=1000]0.00, "" kWh"";0.00 "" Wh"""), 0)</f>
        <v>Total: 21.67  MWh</v>
      </c>
      <c r="F5" t="str">
        <f>"Total: " &amp; IFERROR(TEXT(GETPIVOTDATA("[Measures].[Sum of Price]",$F$3), "[&gt;=1000000]""$""0.00,,""M"";[&gt;=1000]""$""0.00,""K"";""$""0.00"), 0)</f>
        <v>Total: $2.03M</v>
      </c>
      <c r="I5" t="str">
        <f>"Avg: " &amp; IFERROR(TEXT(GETPIVOTDATA("[Measures].[Average of Consumption]",$I$3), "[&gt;=1000000]0.00,, "" MWh"";[&gt;=1000]0.00, "" kWh"";0.00 "" Wh"""), 0)</f>
        <v>Avg: 41.04  kWh</v>
      </c>
      <c r="L5" t="str">
        <f>"Avg: " &amp; IFERROR(TEXT(GETPIVOTDATA("[Measures].[Average of Price]",$L$3),"[&gt;=1000000]""$""0.00,,""M"";[&gt;=1000]""$""0.00,""K"";""$""0.00"), 0)</f>
        <v>Avg: $3.84K</v>
      </c>
    </row>
    <row r="6" spans="1:13" x14ac:dyDescent="0.25">
      <c r="A6" s="4" t="s">
        <v>40</v>
      </c>
      <c r="B6" t="s" vm="3">
        <v>5</v>
      </c>
      <c r="D6" s="4" t="s">
        <v>40</v>
      </c>
      <c r="E6" t="s" vm="3">
        <v>5</v>
      </c>
      <c r="H6" s="4" t="s">
        <v>40</v>
      </c>
      <c r="I6" t="s" vm="3">
        <v>5</v>
      </c>
      <c r="L6" s="4" t="s">
        <v>40</v>
      </c>
      <c r="M6" t="s" vm="3">
        <v>5</v>
      </c>
    </row>
    <row r="8" spans="1:13" x14ac:dyDescent="0.25">
      <c r="A8" s="4" t="s">
        <v>4</v>
      </c>
      <c r="B8" t="s">
        <v>2</v>
      </c>
      <c r="D8" s="4" t="s">
        <v>4</v>
      </c>
      <c r="E8" t="s">
        <v>0</v>
      </c>
      <c r="H8" s="4" t="s">
        <v>4</v>
      </c>
      <c r="I8" t="s">
        <v>2</v>
      </c>
      <c r="L8" s="4" t="s">
        <v>4</v>
      </c>
      <c r="M8" t="s">
        <v>0</v>
      </c>
    </row>
    <row r="9" spans="1:13" x14ac:dyDescent="0.25">
      <c r="A9" s="5" t="s">
        <v>18</v>
      </c>
      <c r="B9" s="10">
        <v>4934000</v>
      </c>
      <c r="C9" t="str">
        <f>IFERROR(TEXT(GETPIVOTDATA("[Measures].[Sum of Consumption]",$A$8,"[Energy Consumptions].[Date (Year)]","[Energy Consumptions].[Date (Year)].&amp;[2016]"), "#,##0") &amp; " Wh", 0)</f>
        <v>4,934,000 Wh</v>
      </c>
      <c r="D9" s="5" t="s">
        <v>18</v>
      </c>
      <c r="E9" s="1">
        <v>394720</v>
      </c>
      <c r="F9" t="str">
        <f>IFERROR(TEXT(GETPIVOTDATA("[Measures].[Sum of Price]",$D$8,"[Energy Consumptions].[Date (Year)]","[Energy Consumptions].[Date (Year)].&amp;[2016]"),"$##,00"),0)</f>
        <v>$394,720</v>
      </c>
      <c r="H9" s="5" t="s">
        <v>19</v>
      </c>
      <c r="I9" s="10">
        <v>1686027</v>
      </c>
      <c r="L9" s="5" t="s">
        <v>19</v>
      </c>
      <c r="M9" s="1">
        <v>157731.81510000001</v>
      </c>
    </row>
    <row r="10" spans="1:13" x14ac:dyDescent="0.25">
      <c r="A10" s="5" t="s">
        <v>31</v>
      </c>
      <c r="B10" s="10">
        <v>5243790</v>
      </c>
      <c r="C10" t="str">
        <f>IFERROR(TEXT(GETPIVOTDATA("[Measures].[Sum of Consumption]",$A$8,"[Energy Consumptions].[Date (Year)]","[Energy Consumptions].[Date (Year)].&amp;[2017]"), "#,##0") &amp; " Wh", 0)</f>
        <v>5,243,790 Wh</v>
      </c>
      <c r="D10" s="5" t="s">
        <v>31</v>
      </c>
      <c r="E10" s="1">
        <v>461453.52</v>
      </c>
      <c r="F10" t="str">
        <f>IFERROR(TEXT(GETPIVOTDATA("[Measures].[Sum of Price]",$D$8,"[Energy Consumptions].[Date (Year)]","[Energy Consumptions].[Date (Year)].&amp;[2017]"),"$##,00"),0)</f>
        <v>$461,454</v>
      </c>
      <c r="H10" s="5" t="s">
        <v>20</v>
      </c>
      <c r="I10" s="10">
        <v>1788156</v>
      </c>
      <c r="L10" s="5" t="s">
        <v>20</v>
      </c>
      <c r="M10" s="1">
        <v>166840.7298</v>
      </c>
    </row>
    <row r="11" spans="1:13" x14ac:dyDescent="0.25">
      <c r="A11" s="5" t="s">
        <v>32</v>
      </c>
      <c r="B11" s="10">
        <v>5603950</v>
      </c>
      <c r="C11" t="str">
        <f>IFERROR(TEXT(GETPIVOTDATA("[Measures].[Sum of Consumption]",$A$8,"[Energy Consumptions].[Date (Year)]","[Energy Consumptions].[Date (Year)].&amp;[2018]"), "#,##0") &amp; " Wh", 0)</f>
        <v>5,603,950 Wh</v>
      </c>
      <c r="D11" s="5" t="s">
        <v>32</v>
      </c>
      <c r="E11" s="1">
        <v>542462.36</v>
      </c>
      <c r="F11" t="str">
        <f>IFERROR(TEXT(GETPIVOTDATA("[Measures].[Sum of Price]",$D$8,"[Energy Consumptions].[Date (Year)]","[Energy Consumptions].[Date (Year)].&amp;[2018]"),"$##,00"),0)</f>
        <v>$542,462</v>
      </c>
      <c r="H11" s="5" t="s">
        <v>21</v>
      </c>
      <c r="I11" s="10">
        <v>1780988</v>
      </c>
      <c r="L11" s="5" t="s">
        <v>21</v>
      </c>
      <c r="M11" s="1">
        <v>167478.79740000001</v>
      </c>
    </row>
    <row r="12" spans="1:13" x14ac:dyDescent="0.25">
      <c r="A12" s="5" t="s">
        <v>33</v>
      </c>
      <c r="B12" s="10">
        <v>5885238</v>
      </c>
      <c r="C12" t="str">
        <f>IFERROR(TEXT(GETPIVOTDATA("[Measures].[Sum of Consumption]",$A$8,"[Energy Consumptions].[Date (Year)]","[Energy Consumptions].[Date (Year)].&amp;[2019]"), "#,##0") &amp; " Wh", 0)</f>
        <v>5,885,238 Wh</v>
      </c>
      <c r="D12" s="5" t="s">
        <v>33</v>
      </c>
      <c r="E12" s="1">
        <v>626660.14190000005</v>
      </c>
      <c r="F12" t="str">
        <f>IFERROR(TEXT(GETPIVOTDATA("[Measures].[Sum of Price]",$D$8,"[Energy Consumptions].[Date (Year)]","[Energy Consumptions].[Date (Year)].&amp;[2019]"),"$##,00"),0)</f>
        <v>$626,660</v>
      </c>
      <c r="H12" s="5" t="s">
        <v>22</v>
      </c>
      <c r="I12" s="10">
        <v>1816198</v>
      </c>
      <c r="L12" s="5" t="s">
        <v>22</v>
      </c>
      <c r="M12" s="1">
        <v>169983.2702</v>
      </c>
    </row>
    <row r="13" spans="1:13" x14ac:dyDescent="0.25">
      <c r="H13" s="5" t="s">
        <v>23</v>
      </c>
      <c r="I13" s="10">
        <v>1748053</v>
      </c>
      <c r="L13" s="5" t="s">
        <v>23</v>
      </c>
      <c r="M13" s="1">
        <v>163618.24979999999</v>
      </c>
    </row>
    <row r="14" spans="1:13" x14ac:dyDescent="0.25">
      <c r="H14" s="5" t="s">
        <v>24</v>
      </c>
      <c r="I14" s="10">
        <v>1801532</v>
      </c>
      <c r="L14" s="5" t="s">
        <v>24</v>
      </c>
      <c r="M14" s="1">
        <v>168010.5276</v>
      </c>
    </row>
    <row r="15" spans="1:13" x14ac:dyDescent="0.25">
      <c r="A15" s="4" t="s">
        <v>40</v>
      </c>
      <c r="B15" t="s" vm="3">
        <v>5</v>
      </c>
      <c r="D15" s="4" t="s">
        <v>40</v>
      </c>
      <c r="E15" t="s" vm="3">
        <v>5</v>
      </c>
      <c r="H15" s="5" t="s">
        <v>25</v>
      </c>
      <c r="I15" s="10">
        <v>1731053</v>
      </c>
      <c r="L15" s="5" t="s">
        <v>25</v>
      </c>
      <c r="M15" s="1">
        <v>161487.51120000001</v>
      </c>
    </row>
    <row r="16" spans="1:13" x14ac:dyDescent="0.25">
      <c r="H16" s="5" t="s">
        <v>26</v>
      </c>
      <c r="I16" s="10">
        <v>1835381</v>
      </c>
      <c r="L16" s="5" t="s">
        <v>26</v>
      </c>
      <c r="M16" s="1">
        <v>171333.4399</v>
      </c>
    </row>
    <row r="17" spans="1:13" x14ac:dyDescent="0.25">
      <c r="A17" s="4" t="s">
        <v>4</v>
      </c>
      <c r="B17" t="s">
        <v>2</v>
      </c>
      <c r="D17" s="4" t="s">
        <v>4</v>
      </c>
      <c r="E17" t="s">
        <v>0</v>
      </c>
      <c r="H17" s="5" t="s">
        <v>27</v>
      </c>
      <c r="I17" s="10">
        <v>1879596</v>
      </c>
      <c r="L17" s="5" t="s">
        <v>27</v>
      </c>
      <c r="M17" s="1">
        <v>176438.7567</v>
      </c>
    </row>
    <row r="18" spans="1:13" x14ac:dyDescent="0.25">
      <c r="A18" s="5" t="s">
        <v>42</v>
      </c>
      <c r="B18" s="10">
        <v>1984173</v>
      </c>
      <c r="D18" s="5" t="s">
        <v>42</v>
      </c>
      <c r="E18" s="1">
        <v>185049.6434</v>
      </c>
      <c r="H18" s="5" t="s">
        <v>28</v>
      </c>
      <c r="I18" s="10">
        <v>1901212</v>
      </c>
      <c r="L18" s="5" t="s">
        <v>28</v>
      </c>
      <c r="M18" s="1">
        <v>177054.02729999999</v>
      </c>
    </row>
    <row r="19" spans="1:13" x14ac:dyDescent="0.25">
      <c r="A19" s="5" t="s">
        <v>17</v>
      </c>
      <c r="B19" s="10">
        <v>1996596</v>
      </c>
      <c r="D19" s="5" t="s">
        <v>17</v>
      </c>
      <c r="E19" s="1">
        <v>186664.08379999999</v>
      </c>
      <c r="H19" s="5" t="s">
        <v>29</v>
      </c>
      <c r="I19" s="10">
        <v>1887644</v>
      </c>
      <c r="L19" s="5" t="s">
        <v>29</v>
      </c>
      <c r="M19" s="1">
        <v>176729.69409999999</v>
      </c>
    </row>
    <row r="20" spans="1:13" x14ac:dyDescent="0.25">
      <c r="A20" s="5" t="s">
        <v>15</v>
      </c>
      <c r="B20" s="10">
        <v>2007260</v>
      </c>
      <c r="D20" s="5" t="s">
        <v>15</v>
      </c>
      <c r="E20" s="1">
        <v>187684.18700000001</v>
      </c>
      <c r="H20" s="5" t="s">
        <v>30</v>
      </c>
      <c r="I20" s="10">
        <v>1811138</v>
      </c>
      <c r="L20" s="5" t="s">
        <v>30</v>
      </c>
      <c r="M20" s="1">
        <v>168589.2028</v>
      </c>
    </row>
    <row r="21" spans="1:13" x14ac:dyDescent="0.25">
      <c r="A21" s="5" t="s">
        <v>13</v>
      </c>
      <c r="B21" s="10">
        <v>2013899</v>
      </c>
      <c r="D21" s="5" t="s">
        <v>13</v>
      </c>
      <c r="E21" s="1">
        <v>188163.31599999999</v>
      </c>
    </row>
    <row r="22" spans="1:13" x14ac:dyDescent="0.25">
      <c r="A22" s="5" t="s">
        <v>43</v>
      </c>
      <c r="B22" s="10">
        <v>2018804</v>
      </c>
      <c r="D22" s="5" t="s">
        <v>43</v>
      </c>
      <c r="E22" s="1">
        <v>189077.4963</v>
      </c>
    </row>
    <row r="25" spans="1:13" x14ac:dyDescent="0.25">
      <c r="A25" s="4" t="s">
        <v>40</v>
      </c>
      <c r="B25" t="s" vm="3">
        <v>5</v>
      </c>
      <c r="D25" s="4" t="s">
        <v>40</v>
      </c>
      <c r="E25" t="s" vm="3">
        <v>5</v>
      </c>
    </row>
    <row r="27" spans="1:13" x14ac:dyDescent="0.25">
      <c r="A27" s="4" t="s">
        <v>4</v>
      </c>
      <c r="B27" t="s">
        <v>2</v>
      </c>
      <c r="D27" s="4" t="s">
        <v>4</v>
      </c>
      <c r="E27" t="s">
        <v>0</v>
      </c>
    </row>
    <row r="28" spans="1:13" x14ac:dyDescent="0.25">
      <c r="A28" s="5" t="s">
        <v>37</v>
      </c>
      <c r="B28" s="10">
        <v>6029299</v>
      </c>
      <c r="D28" s="5" t="s">
        <v>37</v>
      </c>
      <c r="E28" s="1">
        <v>563904.89610000001</v>
      </c>
    </row>
    <row r="29" spans="1:13" x14ac:dyDescent="0.25">
      <c r="A29" s="5" t="s">
        <v>35</v>
      </c>
      <c r="B29" s="10">
        <v>5876333</v>
      </c>
      <c r="D29" s="5" t="s">
        <v>35</v>
      </c>
      <c r="E29" s="1">
        <v>548734.89450000005</v>
      </c>
    </row>
    <row r="30" spans="1:13" x14ac:dyDescent="0.25">
      <c r="A30" s="5" t="s">
        <v>38</v>
      </c>
      <c r="B30" s="10">
        <v>5867499</v>
      </c>
      <c r="D30" s="5" t="s">
        <v>38</v>
      </c>
      <c r="E30" s="1">
        <v>548486.63489999995</v>
      </c>
    </row>
    <row r="31" spans="1:13" x14ac:dyDescent="0.25">
      <c r="A31" s="5" t="s">
        <v>39</v>
      </c>
      <c r="B31" s="10">
        <v>2007260</v>
      </c>
      <c r="D31" s="5" t="s">
        <v>39</v>
      </c>
      <c r="E31" s="1">
        <v>187684.18700000001</v>
      </c>
    </row>
    <row r="32" spans="1:13" x14ac:dyDescent="0.25">
      <c r="A32" s="5" t="s">
        <v>36</v>
      </c>
      <c r="B32" s="10">
        <v>1886587</v>
      </c>
      <c r="D32" s="5" t="s">
        <v>36</v>
      </c>
      <c r="E32" s="1">
        <v>176485.4094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42510-2002-4C08-AA53-2F35CB2C8FDB}">
  <dimension ref="A10"/>
  <sheetViews>
    <sheetView showGridLines="0" showRowColHeaders="0" tabSelected="1" zoomScaleNormal="100" workbookViewId="0">
      <extLst>
        <ext xmlns:xlsdti="http://schemas.microsoft.com/office/spreadsheetml/2023/showDataTypeIcons" uri="{77bfe23e-c014-4d31-8a63-9c772dbf06b6}">
          <xlsdti:showDataTypeIcons visible="0"/>
        </ext>
      </extLst>
    </sheetView>
  </sheetViews>
  <sheetFormatPr defaultRowHeight="15" x14ac:dyDescent="0.25"/>
  <sheetData>
    <row r="10" spans="1:1" x14ac:dyDescent="0.25">
      <c r="A1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8B0C-779D-48B9-9912-2D78712B5097}">
  <dimension ref="A10"/>
  <sheetViews>
    <sheetView showGridLines="0" showRowColHeaders="0" zoomScaleNormal="100" workbookViewId="0">
      <selection activeCell="O53" sqref="O53"/>
      <extLst>
        <ext xmlns:xlsdti="http://schemas.microsoft.com/office/spreadsheetml/2023/showDataTypeIcons" uri="{77bfe23e-c014-4d31-8a63-9c772dbf06b6}">
          <xlsdti:showDataTypeIcons visible="0"/>
        </ext>
      </extLst>
    </sheetView>
  </sheetViews>
  <sheetFormatPr defaultRowHeight="15" x14ac:dyDescent="0.25"/>
  <sheetData>
    <row r="10" spans="1:1" x14ac:dyDescent="0.25">
      <c r="A1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E100-9EFC-42D8-9CA1-B0325BB0BDCA}">
  <dimension ref="A10"/>
  <sheetViews>
    <sheetView showGridLines="0" showRowColHeaders="0" zoomScaleNormal="100" workbookViewId="0">
      <selection activeCell="P53" sqref="P53"/>
      <extLst>
        <ext xmlns:xlsdti="http://schemas.microsoft.com/office/spreadsheetml/2023/showDataTypeIcons" uri="{77bfe23e-c014-4d31-8a63-9c772dbf06b6}">
          <xlsdti:showDataTypeIcons visible="0"/>
        </ext>
      </extLst>
    </sheetView>
  </sheetViews>
  <sheetFormatPr defaultRowHeight="15" x14ac:dyDescent="0.25"/>
  <sheetData>
    <row r="10" spans="1:1" x14ac:dyDescent="0.25">
      <c r="A1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BB68-7AA3-4CD6-8799-267FEEEEF8EC}">
  <dimension ref="A10"/>
  <sheetViews>
    <sheetView showGridLines="0" showRowColHeaders="0" zoomScaleNormal="100" workbookViewId="0">
      <selection activeCell="O53" sqref="O53"/>
      <extLst>
        <ext xmlns:xlsdti="http://schemas.microsoft.com/office/spreadsheetml/2023/showDataTypeIcons" uri="{77bfe23e-c014-4d31-8a63-9c772dbf06b6}">
          <xlsdti:showDataTypeIcons visible="0"/>
        </ext>
      </extLst>
    </sheetView>
  </sheetViews>
  <sheetFormatPr defaultRowHeight="15" x14ac:dyDescent="0.25"/>
  <sheetData>
    <row r="10" spans="1:1" x14ac:dyDescent="0.25">
      <c r="A1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68BC7A3-0942-4F33-BEB0-81E58428C17F}">
  <ds:schemaRefs/>
</ds:datastoreItem>
</file>

<file path=customXml/itemProps2.xml><?xml version="1.0" encoding="utf-8"?>
<ds:datastoreItem xmlns:ds="http://schemas.openxmlformats.org/officeDocument/2006/customXml" ds:itemID="{CCCA8212-9556-4022-8B7E-A8C6B05EFC0E}">
  <ds:schemaRefs/>
</ds:datastoreItem>
</file>

<file path=customXml/itemProps3.xml><?xml version="1.0" encoding="utf-8"?>
<ds:datastoreItem xmlns:ds="http://schemas.openxmlformats.org/officeDocument/2006/customXml" ds:itemID="{96E8C1C3-5A10-4891-814E-00322C4BE916}">
  <ds:schemaRefs/>
</ds:datastoreItem>
</file>

<file path=customXml/itemProps4.xml><?xml version="1.0" encoding="utf-8"?>
<ds:datastoreItem xmlns:ds="http://schemas.openxmlformats.org/officeDocument/2006/customXml" ds:itemID="{70322A7C-1B36-4ECC-A067-5340FF6E3613}">
  <ds:schemaRefs/>
</ds:datastoreItem>
</file>

<file path=customXml/itemProps5.xml><?xml version="1.0" encoding="utf-8"?>
<ds:datastoreItem xmlns:ds="http://schemas.openxmlformats.org/officeDocument/2006/customXml" ds:itemID="{56EE2C20-5BBD-4B69-A239-33952BAF4E80}">
  <ds:schemaRefs/>
</ds:datastoreItem>
</file>

<file path=customXml/itemProps6.xml><?xml version="1.0" encoding="utf-8"?>
<ds:datastoreItem xmlns:ds="http://schemas.openxmlformats.org/officeDocument/2006/customXml" ds:itemID="{A6406B2E-66F7-42E4-BF88-8379E5076AE2}">
  <ds:schemaRefs/>
</ds:datastoreItem>
</file>

<file path=customXml/itemProps7.xml><?xml version="1.0" encoding="utf-8"?>
<ds:datastoreItem xmlns:ds="http://schemas.openxmlformats.org/officeDocument/2006/customXml" ds:itemID="{C70AED03-3655-4E35-BCDB-80ED304CA37D}">
  <ds:schemaRefs/>
</ds:datastoreItem>
</file>

<file path=customXml/itemProps8.xml><?xml version="1.0" encoding="utf-8"?>
<ds:datastoreItem xmlns:ds="http://schemas.openxmlformats.org/officeDocument/2006/customXml" ds:itemID="{F35DD120-E75F-49BE-8909-158F8AF6DCB6}">
  <ds:schemaRefs/>
</ds:datastoreItem>
</file>

<file path=customXml/itemProps9.xml><?xml version="1.0" encoding="utf-8"?>
<ds:datastoreItem xmlns:ds="http://schemas.openxmlformats.org/officeDocument/2006/customXml" ds:itemID="{4C160E8E-74E8-4A66-ACA7-9A833BF5DA8F}">
  <ds:schemaRefs/>
</ds:datastoreItem>
</file>

<file path=customXml/itemProps10.xml><?xml version="1.0" encoding="utf-8"?>
<ds:datastoreItem xmlns:ds="http://schemas.openxmlformats.org/officeDocument/2006/customXml" ds:itemID="{F4CD099C-8AD2-41DD-8EF3-FD732010668C}">
  <ds:schemaRefs/>
</ds:datastoreItem>
</file>

<file path=customXml/itemProps11.xml><?xml version="1.0" encoding="utf-8"?>
<ds:datastoreItem xmlns:ds="http://schemas.openxmlformats.org/officeDocument/2006/customXml" ds:itemID="{35E40234-29E0-44D0-A160-369F2253627C}">
  <ds:schemaRefs/>
</ds:datastoreItem>
</file>

<file path=customXml/itemProps12.xml><?xml version="1.0" encoding="utf-8"?>
<ds:datastoreItem xmlns:ds="http://schemas.openxmlformats.org/officeDocument/2006/customXml" ds:itemID="{C621B6E3-8E74-4222-A0E9-D02EC96E2FED}">
  <ds:schemaRefs>
    <ds:schemaRef ds:uri="http://schemas.microsoft.com/DataMashup"/>
  </ds:schemaRefs>
</ds:datastoreItem>
</file>

<file path=customXml/itemProps13.xml><?xml version="1.0" encoding="utf-8"?>
<ds:datastoreItem xmlns:ds="http://schemas.openxmlformats.org/officeDocument/2006/customXml" ds:itemID="{31F17FBC-57EB-4270-A86F-D9AA5BFE9043}">
  <ds:schemaRefs/>
</ds:datastoreItem>
</file>

<file path=customXml/itemProps14.xml><?xml version="1.0" encoding="utf-8"?>
<ds:datastoreItem xmlns:ds="http://schemas.openxmlformats.org/officeDocument/2006/customXml" ds:itemID="{30B2DF0D-014B-4A87-8B5F-7DFE3F5C3AEE}">
  <ds:schemaRefs/>
</ds:datastoreItem>
</file>

<file path=customXml/itemProps15.xml><?xml version="1.0" encoding="utf-8"?>
<ds:datastoreItem xmlns:ds="http://schemas.openxmlformats.org/officeDocument/2006/customXml" ds:itemID="{3FD162F7-CC1D-459E-9C5A-09806E37B9D9}">
  <ds:schemaRefs/>
</ds:datastoreItem>
</file>

<file path=customXml/itemProps16.xml><?xml version="1.0" encoding="utf-8"?>
<ds:datastoreItem xmlns:ds="http://schemas.openxmlformats.org/officeDocument/2006/customXml" ds:itemID="{9F818F81-E8D3-4793-A478-1296E96909AC}">
  <ds:schemaRefs/>
</ds:datastoreItem>
</file>

<file path=customXml/itemProps17.xml><?xml version="1.0" encoding="utf-8"?>
<ds:datastoreItem xmlns:ds="http://schemas.openxmlformats.org/officeDocument/2006/customXml" ds:itemID="{0D0E9AE9-599D-4FD2-8B95-3747B7D8C02F}">
  <ds:schemaRefs/>
</ds:datastoreItem>
</file>

<file path=customXml/itemProps18.xml><?xml version="1.0" encoding="utf-8"?>
<ds:datastoreItem xmlns:ds="http://schemas.openxmlformats.org/officeDocument/2006/customXml" ds:itemID="{9A57ED34-5942-4875-8B84-8E42DFE7C143}">
  <ds:schemaRefs/>
</ds:datastoreItem>
</file>

<file path=customXml/itemProps19.xml><?xml version="1.0" encoding="utf-8"?>
<ds:datastoreItem xmlns:ds="http://schemas.openxmlformats.org/officeDocument/2006/customXml" ds:itemID="{AF0190D2-088B-4E7B-8FB9-1CC2A03D15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overall_analysis</vt:lpstr>
      <vt:lpstr>water_analysis</vt:lpstr>
      <vt:lpstr>gas_analysis</vt:lpstr>
      <vt:lpstr>electricity_analysis</vt:lpstr>
      <vt:lpstr>DashBoard OverAll</vt:lpstr>
      <vt:lpstr>DashBoard Electricity</vt:lpstr>
      <vt:lpstr>DashBoard Water</vt:lpstr>
      <vt:lpstr>DashBoard Gas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Amged Hussien</dc:creator>
  <cp:lastModifiedBy>Amged Hussien</cp:lastModifiedBy>
  <dcterms:created xsi:type="dcterms:W3CDTF">2026-01-29T03:29:59Z</dcterms:created>
  <dcterms:modified xsi:type="dcterms:W3CDTF">2026-03-02T00:56:21Z</dcterms:modified>
</cp:coreProperties>
</file>